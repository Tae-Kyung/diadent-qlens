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DT-QM-1203\Desktop\"/>
    </mc:Choice>
  </mc:AlternateContent>
  <xr:revisionPtr revIDLastSave="0" documentId="13_ncr:1_{5A4C95AC-7D12-40DC-A910-0433E49EA6DF}" xr6:coauthVersionLast="47" xr6:coauthVersionMax="47" xr10:uidLastSave="{00000000-0000-0000-0000-000000000000}"/>
  <bookViews>
    <workbookView xWindow="28680" yWindow="-120" windowWidth="29040" windowHeight="15720" xr2:uid="{B054FAFB-092E-4383-A66B-B914DEF02C9E}"/>
  </bookViews>
  <sheets>
    <sheet name="Confirm Fit GP #F1" sheetId="74" r:id="rId1"/>
    <sheet name="Confirm Fit GP #F2" sheetId="75" r:id="rId2"/>
    <sheet name="Confirm Fit GP #F3" sheetId="76" r:id="rId3"/>
    <sheet name="Confirm Fit GP #FX" sheetId="66" r:id="rId4"/>
    <sheet name="Confirm Fit GP #FXL" sheetId="67" r:id="rId5"/>
  </sheets>
  <definedNames>
    <definedName name="Excel_BuiltIn_Print_Titles">"#REF!"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7" i="74" l="1"/>
  <c r="AC47" i="74"/>
  <c r="AB47" i="74"/>
  <c r="AA47" i="74"/>
  <c r="Z47" i="74"/>
  <c r="Y47" i="74"/>
  <c r="X47" i="74"/>
  <c r="W47" i="74"/>
  <c r="V47" i="74"/>
  <c r="U47" i="74"/>
  <c r="T47" i="74"/>
  <c r="S47" i="74"/>
  <c r="R47" i="74"/>
  <c r="Q47" i="74"/>
  <c r="P47" i="74"/>
  <c r="O47" i="74"/>
  <c r="N47" i="74"/>
  <c r="M47" i="74"/>
  <c r="L47" i="74"/>
  <c r="K47" i="74"/>
  <c r="J47" i="74"/>
  <c r="I47" i="74"/>
  <c r="H47" i="74"/>
  <c r="G47" i="74"/>
  <c r="F47" i="74"/>
  <c r="E47" i="74"/>
  <c r="AD82" i="75"/>
  <c r="AC82" i="75"/>
  <c r="AB82" i="75"/>
  <c r="AA82" i="75"/>
  <c r="Z82" i="75"/>
  <c r="Y82" i="75"/>
  <c r="X82" i="75"/>
  <c r="W82" i="75"/>
  <c r="V82" i="75"/>
  <c r="U82" i="75"/>
  <c r="T82" i="75"/>
  <c r="S82" i="75"/>
  <c r="R82" i="75"/>
  <c r="Q82" i="75"/>
  <c r="P82" i="75"/>
  <c r="O82" i="75"/>
  <c r="N82" i="75"/>
  <c r="M82" i="75"/>
  <c r="L82" i="75"/>
  <c r="K82" i="75"/>
  <c r="J82" i="75"/>
  <c r="I82" i="75"/>
  <c r="H82" i="75"/>
  <c r="G82" i="75"/>
  <c r="F82" i="75"/>
  <c r="E82" i="75"/>
  <c r="AD82" i="76"/>
  <c r="AC82" i="76"/>
  <c r="AB82" i="76"/>
  <c r="AA82" i="76"/>
  <c r="Z82" i="76"/>
  <c r="Y82" i="76"/>
  <c r="X82" i="76"/>
  <c r="W82" i="76"/>
  <c r="V82" i="76"/>
  <c r="U82" i="76"/>
  <c r="T82" i="76"/>
  <c r="S82" i="76"/>
  <c r="R82" i="76"/>
  <c r="Q82" i="76"/>
  <c r="P82" i="76"/>
  <c r="O82" i="76"/>
  <c r="N82" i="76"/>
  <c r="M82" i="76"/>
  <c r="L82" i="76"/>
  <c r="K82" i="76"/>
  <c r="J82" i="76"/>
  <c r="I82" i="76"/>
  <c r="H82" i="76"/>
  <c r="G82" i="76"/>
  <c r="F82" i="76"/>
  <c r="E82" i="76"/>
  <c r="AD74" i="66"/>
  <c r="AC74" i="66"/>
  <c r="AB74" i="66"/>
  <c r="AA74" i="66"/>
  <c r="Z74" i="66"/>
  <c r="Y74" i="66"/>
  <c r="X74" i="66"/>
  <c r="W74" i="66"/>
  <c r="V74" i="66"/>
  <c r="U74" i="66"/>
  <c r="T74" i="66"/>
  <c r="S74" i="66"/>
  <c r="R74" i="66"/>
  <c r="Q74" i="66"/>
  <c r="P74" i="66"/>
  <c r="O74" i="66"/>
  <c r="N74" i="66"/>
  <c r="M74" i="66"/>
  <c r="L74" i="66"/>
  <c r="K74" i="66"/>
  <c r="J74" i="66"/>
  <c r="I74" i="66"/>
  <c r="H74" i="66"/>
  <c r="G74" i="66"/>
  <c r="F74" i="66"/>
  <c r="E74" i="66"/>
  <c r="E73" i="66"/>
  <c r="F73" i="66"/>
  <c r="G73" i="66"/>
  <c r="H73" i="66"/>
  <c r="I73" i="66"/>
  <c r="J73" i="66"/>
  <c r="K73" i="66"/>
  <c r="L73" i="66"/>
  <c r="M73" i="66"/>
  <c r="N73" i="66"/>
  <c r="O73" i="66"/>
  <c r="P73" i="66"/>
  <c r="Q73" i="66"/>
  <c r="R73" i="66"/>
  <c r="S73" i="66"/>
  <c r="T73" i="66"/>
  <c r="U73" i="66"/>
  <c r="V73" i="66"/>
  <c r="W73" i="66"/>
  <c r="X73" i="66"/>
  <c r="Y73" i="66"/>
  <c r="Z73" i="66"/>
  <c r="AA73" i="66"/>
  <c r="AB73" i="66"/>
  <c r="AC73" i="66"/>
  <c r="AD73" i="66"/>
  <c r="E81" i="76"/>
  <c r="F81" i="76"/>
  <c r="G81" i="76"/>
  <c r="H81" i="76"/>
  <c r="I81" i="76"/>
  <c r="J81" i="76"/>
  <c r="K81" i="76"/>
  <c r="L81" i="76"/>
  <c r="M81" i="76"/>
  <c r="N81" i="76"/>
  <c r="O81" i="76"/>
  <c r="P81" i="76"/>
  <c r="Q81" i="76"/>
  <c r="R81" i="76"/>
  <c r="S81" i="76"/>
  <c r="T81" i="76"/>
  <c r="U81" i="76"/>
  <c r="V81" i="76"/>
  <c r="W81" i="76"/>
  <c r="X81" i="76"/>
  <c r="Y81" i="76"/>
  <c r="Z81" i="76"/>
  <c r="AA81" i="76"/>
  <c r="AB81" i="76"/>
  <c r="AC81" i="76"/>
  <c r="AD81" i="76"/>
  <c r="E81" i="75"/>
  <c r="F81" i="75"/>
  <c r="G81" i="75"/>
  <c r="H81" i="75"/>
  <c r="I81" i="75"/>
  <c r="J81" i="75"/>
  <c r="K81" i="75"/>
  <c r="L81" i="75"/>
  <c r="M81" i="75"/>
  <c r="N81" i="75"/>
  <c r="O81" i="75"/>
  <c r="P81" i="75"/>
  <c r="Q81" i="75"/>
  <c r="R81" i="75"/>
  <c r="S81" i="75"/>
  <c r="T81" i="75"/>
  <c r="U81" i="75"/>
  <c r="V81" i="75"/>
  <c r="W81" i="75"/>
  <c r="X81" i="75"/>
  <c r="Y81" i="75"/>
  <c r="Z81" i="75"/>
  <c r="AA81" i="75"/>
  <c r="AB81" i="75"/>
  <c r="AC81" i="75"/>
  <c r="AD81" i="75"/>
  <c r="E46" i="74"/>
  <c r="F46" i="74"/>
  <c r="G46" i="74"/>
  <c r="H46" i="74"/>
  <c r="I46" i="74"/>
  <c r="J46" i="74"/>
  <c r="K46" i="74"/>
  <c r="L46" i="74"/>
  <c r="M46" i="74"/>
  <c r="N46" i="74"/>
  <c r="O46" i="74"/>
  <c r="P46" i="74"/>
  <c r="Q46" i="74"/>
  <c r="R46" i="74"/>
  <c r="S46" i="74"/>
  <c r="T46" i="74"/>
  <c r="U46" i="74"/>
  <c r="V46" i="74"/>
  <c r="W46" i="74"/>
  <c r="X46" i="74"/>
  <c r="Y46" i="74"/>
  <c r="Z46" i="74"/>
  <c r="AA46" i="74"/>
  <c r="AB46" i="74"/>
  <c r="AC46" i="74"/>
  <c r="AD46" i="74"/>
  <c r="E74" i="67"/>
  <c r="F74" i="67"/>
  <c r="G74" i="67"/>
  <c r="H74" i="67"/>
  <c r="I74" i="67"/>
  <c r="J74" i="67"/>
  <c r="K74" i="67"/>
  <c r="L74" i="67"/>
  <c r="M74" i="67"/>
  <c r="N74" i="67"/>
  <c r="O74" i="67"/>
  <c r="P74" i="67"/>
  <c r="Q74" i="67"/>
  <c r="R74" i="67"/>
  <c r="S74" i="67"/>
  <c r="T74" i="67"/>
  <c r="U74" i="67"/>
  <c r="V74" i="67"/>
  <c r="W74" i="67"/>
  <c r="X74" i="67"/>
  <c r="Y74" i="67"/>
  <c r="Z74" i="67"/>
  <c r="AA74" i="67"/>
  <c r="AB74" i="67"/>
  <c r="AC74" i="67"/>
  <c r="AD74" i="67"/>
  <c r="AD73" i="67" l="1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AD72" i="67"/>
  <c r="AC72" i="67"/>
  <c r="AB72" i="67"/>
  <c r="AA72" i="67"/>
  <c r="Z72" i="67"/>
  <c r="Y72" i="67"/>
  <c r="X72" i="67"/>
  <c r="W72" i="67"/>
  <c r="V72" i="67"/>
  <c r="U72" i="67"/>
  <c r="T72" i="67"/>
  <c r="S72" i="67"/>
  <c r="R72" i="67"/>
  <c r="Q72" i="67"/>
  <c r="P72" i="67"/>
  <c r="O72" i="67"/>
  <c r="N72" i="67"/>
  <c r="M72" i="67"/>
  <c r="L72" i="67"/>
  <c r="K72" i="67"/>
  <c r="J72" i="67"/>
  <c r="I72" i="67"/>
  <c r="H72" i="67"/>
  <c r="G72" i="67"/>
  <c r="F72" i="67"/>
  <c r="E72" i="67"/>
  <c r="AD71" i="67"/>
  <c r="AC71" i="67"/>
  <c r="AB71" i="67"/>
  <c r="AA71" i="67"/>
  <c r="Z71" i="67"/>
  <c r="Y71" i="67"/>
  <c r="X71" i="67"/>
  <c r="W71" i="67"/>
  <c r="V71" i="67"/>
  <c r="U71" i="67"/>
  <c r="T71" i="67"/>
  <c r="S71" i="67"/>
  <c r="R71" i="67"/>
  <c r="Q71" i="67"/>
  <c r="P71" i="67"/>
  <c r="O71" i="67"/>
  <c r="N71" i="67"/>
  <c r="M71" i="67"/>
  <c r="L71" i="67"/>
  <c r="K71" i="67"/>
  <c r="J71" i="67"/>
  <c r="I71" i="67"/>
  <c r="H71" i="67"/>
  <c r="G71" i="67"/>
  <c r="F71" i="67"/>
  <c r="E71" i="67"/>
  <c r="AD70" i="67"/>
  <c r="AC70" i="67"/>
  <c r="AB70" i="67"/>
  <c r="AA70" i="67"/>
  <c r="Z70" i="67"/>
  <c r="Y70" i="67"/>
  <c r="X70" i="67"/>
  <c r="W70" i="67"/>
  <c r="V70" i="67"/>
  <c r="U70" i="67"/>
  <c r="T70" i="67"/>
  <c r="S70" i="67"/>
  <c r="R70" i="67"/>
  <c r="Q70" i="67"/>
  <c r="P70" i="67"/>
  <c r="O70" i="67"/>
  <c r="N70" i="67"/>
  <c r="M70" i="67"/>
  <c r="L70" i="67"/>
  <c r="K70" i="67"/>
  <c r="J70" i="67"/>
  <c r="I70" i="67"/>
  <c r="H70" i="67"/>
  <c r="G70" i="67"/>
  <c r="F70" i="67"/>
  <c r="E70" i="67"/>
  <c r="AD69" i="67"/>
  <c r="AC69" i="67"/>
  <c r="AB69" i="67"/>
  <c r="AA69" i="67"/>
  <c r="Z69" i="67"/>
  <c r="Y69" i="67"/>
  <c r="X69" i="67"/>
  <c r="W69" i="67"/>
  <c r="V69" i="67"/>
  <c r="U69" i="67"/>
  <c r="T69" i="67"/>
  <c r="S69" i="67"/>
  <c r="R69" i="67"/>
  <c r="Q69" i="67"/>
  <c r="P69" i="67"/>
  <c r="O69" i="67"/>
  <c r="N69" i="67"/>
  <c r="M69" i="67"/>
  <c r="L69" i="67"/>
  <c r="K69" i="67"/>
  <c r="J69" i="67"/>
  <c r="I69" i="67"/>
  <c r="H69" i="67"/>
  <c r="G69" i="67"/>
  <c r="F69" i="67"/>
  <c r="E69" i="67"/>
  <c r="AD68" i="67"/>
  <c r="AC68" i="67"/>
  <c r="AB68" i="67"/>
  <c r="AA68" i="67"/>
  <c r="Z68" i="67"/>
  <c r="Y68" i="67"/>
  <c r="X68" i="67"/>
  <c r="W68" i="67"/>
  <c r="V68" i="67"/>
  <c r="U68" i="67"/>
  <c r="T68" i="67"/>
  <c r="S68" i="67"/>
  <c r="R68" i="67"/>
  <c r="Q68" i="67"/>
  <c r="P68" i="67"/>
  <c r="O68" i="67"/>
  <c r="N68" i="67"/>
  <c r="M68" i="67"/>
  <c r="L68" i="67"/>
  <c r="K68" i="67"/>
  <c r="J68" i="67"/>
  <c r="I68" i="67"/>
  <c r="H68" i="67"/>
  <c r="G68" i="67"/>
  <c r="F68" i="67"/>
  <c r="E68" i="67"/>
  <c r="AD67" i="67"/>
  <c r="AC67" i="67"/>
  <c r="AB67" i="67"/>
  <c r="AA67" i="67"/>
  <c r="Z67" i="67"/>
  <c r="Y67" i="67"/>
  <c r="X67" i="67"/>
  <c r="W67" i="67"/>
  <c r="V67" i="67"/>
  <c r="U67" i="67"/>
  <c r="T67" i="67"/>
  <c r="S67" i="67"/>
  <c r="R67" i="67"/>
  <c r="Q67" i="67"/>
  <c r="P67" i="67"/>
  <c r="O67" i="67"/>
  <c r="N67" i="67"/>
  <c r="M67" i="67"/>
  <c r="L67" i="67"/>
  <c r="K67" i="67"/>
  <c r="J67" i="67"/>
  <c r="I67" i="67"/>
  <c r="H67" i="67"/>
  <c r="G67" i="67"/>
  <c r="F67" i="67"/>
  <c r="E67" i="67"/>
  <c r="AD66" i="67"/>
  <c r="AC66" i="67"/>
  <c r="AB66" i="67"/>
  <c r="AA66" i="67"/>
  <c r="Z66" i="67"/>
  <c r="Y66" i="67"/>
  <c r="X66" i="67"/>
  <c r="W66" i="67"/>
  <c r="V66" i="67"/>
  <c r="U66" i="67"/>
  <c r="T66" i="67"/>
  <c r="S66" i="67"/>
  <c r="R66" i="67"/>
  <c r="Q66" i="67"/>
  <c r="P66" i="67"/>
  <c r="O66" i="67"/>
  <c r="N66" i="67"/>
  <c r="M66" i="67"/>
  <c r="L66" i="67"/>
  <c r="K66" i="67"/>
  <c r="J66" i="67"/>
  <c r="I66" i="67"/>
  <c r="H66" i="67"/>
  <c r="G66" i="67"/>
  <c r="F66" i="67"/>
  <c r="E66" i="67"/>
  <c r="R65" i="67"/>
  <c r="Q65" i="67"/>
  <c r="P65" i="67"/>
  <c r="N65" i="67"/>
  <c r="M65" i="67"/>
  <c r="AD64" i="67"/>
  <c r="AC64" i="67"/>
  <c r="AB64" i="67"/>
  <c r="AA64" i="67"/>
  <c r="Z64" i="67"/>
  <c r="Y64" i="67"/>
  <c r="X64" i="67"/>
  <c r="W64" i="67"/>
  <c r="V64" i="67"/>
  <c r="U65" i="67" s="1"/>
  <c r="U64" i="67"/>
  <c r="T65" i="67" s="1"/>
  <c r="T64" i="67"/>
  <c r="S65" i="67" s="1"/>
  <c r="S64" i="67"/>
  <c r="R64" i="67"/>
  <c r="Q64" i="67"/>
  <c r="P64" i="67"/>
  <c r="O64" i="67"/>
  <c r="N64" i="67"/>
  <c r="M64" i="67"/>
  <c r="L64" i="67"/>
  <c r="K64" i="67"/>
  <c r="J64" i="67"/>
  <c r="I64" i="67"/>
  <c r="H64" i="67"/>
  <c r="G64" i="67"/>
  <c r="F64" i="67"/>
  <c r="E64" i="67"/>
  <c r="AD80" i="76"/>
  <c r="AC80" i="76"/>
  <c r="AB80" i="76"/>
  <c r="AA80" i="76"/>
  <c r="Z80" i="76"/>
  <c r="Y80" i="76"/>
  <c r="X80" i="76"/>
  <c r="W80" i="76"/>
  <c r="V80" i="76"/>
  <c r="U80" i="76"/>
  <c r="T80" i="76"/>
  <c r="S80" i="76"/>
  <c r="R80" i="76"/>
  <c r="Q80" i="76"/>
  <c r="P80" i="76"/>
  <c r="O80" i="76"/>
  <c r="N80" i="76"/>
  <c r="M80" i="76"/>
  <c r="L80" i="76"/>
  <c r="K80" i="76"/>
  <c r="J80" i="76"/>
  <c r="I80" i="76"/>
  <c r="H80" i="76"/>
  <c r="G80" i="76"/>
  <c r="F80" i="76"/>
  <c r="E80" i="76"/>
  <c r="AD79" i="76"/>
  <c r="AC79" i="76"/>
  <c r="AB79" i="76"/>
  <c r="AA79" i="76"/>
  <c r="Z79" i="76"/>
  <c r="Y79" i="76"/>
  <c r="X79" i="76"/>
  <c r="W79" i="76"/>
  <c r="V79" i="76"/>
  <c r="U79" i="76"/>
  <c r="T79" i="76"/>
  <c r="S79" i="76"/>
  <c r="R79" i="76"/>
  <c r="Q79" i="76"/>
  <c r="P79" i="76"/>
  <c r="O79" i="76"/>
  <c r="N79" i="76"/>
  <c r="M79" i="76"/>
  <c r="L79" i="76"/>
  <c r="K79" i="76"/>
  <c r="J79" i="76"/>
  <c r="I79" i="76"/>
  <c r="H79" i="76"/>
  <c r="G79" i="76"/>
  <c r="F79" i="76"/>
  <c r="E79" i="76"/>
  <c r="AD78" i="76"/>
  <c r="AC78" i="76"/>
  <c r="AB78" i="76"/>
  <c r="AA78" i="76"/>
  <c r="Z78" i="76"/>
  <c r="Y78" i="76"/>
  <c r="X78" i="76"/>
  <c r="W78" i="76"/>
  <c r="V78" i="76"/>
  <c r="U78" i="76"/>
  <c r="T78" i="76"/>
  <c r="S78" i="76"/>
  <c r="R78" i="76"/>
  <c r="Q78" i="76"/>
  <c r="P78" i="76"/>
  <c r="O78" i="76"/>
  <c r="N78" i="76"/>
  <c r="M78" i="76"/>
  <c r="L78" i="76"/>
  <c r="K78" i="76"/>
  <c r="J78" i="76"/>
  <c r="I78" i="76"/>
  <c r="H78" i="76"/>
  <c r="G78" i="76"/>
  <c r="F78" i="76"/>
  <c r="E78" i="76"/>
  <c r="AD77" i="76"/>
  <c r="AC77" i="76"/>
  <c r="AB77" i="76"/>
  <c r="AA77" i="76"/>
  <c r="Z77" i="76"/>
  <c r="Y77" i="76"/>
  <c r="X77" i="76"/>
  <c r="W77" i="76"/>
  <c r="V77" i="76"/>
  <c r="U77" i="76"/>
  <c r="T77" i="76"/>
  <c r="S77" i="76"/>
  <c r="R77" i="76"/>
  <c r="Q77" i="76"/>
  <c r="P77" i="76"/>
  <c r="O77" i="76"/>
  <c r="N77" i="76"/>
  <c r="M77" i="76"/>
  <c r="L77" i="76"/>
  <c r="K77" i="76"/>
  <c r="J77" i="76"/>
  <c r="I77" i="76"/>
  <c r="H77" i="76"/>
  <c r="G77" i="76"/>
  <c r="F77" i="76"/>
  <c r="E77" i="76"/>
  <c r="AD76" i="76"/>
  <c r="AC76" i="76"/>
  <c r="AB76" i="76"/>
  <c r="AA76" i="76"/>
  <c r="Z76" i="76"/>
  <c r="Y76" i="76"/>
  <c r="X76" i="76"/>
  <c r="W76" i="76"/>
  <c r="V76" i="76"/>
  <c r="U76" i="76"/>
  <c r="T76" i="76"/>
  <c r="S76" i="76"/>
  <c r="R76" i="76"/>
  <c r="Q76" i="76"/>
  <c r="P76" i="76"/>
  <c r="O76" i="76"/>
  <c r="N76" i="76"/>
  <c r="M76" i="76"/>
  <c r="L76" i="76"/>
  <c r="K76" i="76"/>
  <c r="J76" i="76"/>
  <c r="I76" i="76"/>
  <c r="H76" i="76"/>
  <c r="G76" i="76"/>
  <c r="F76" i="76"/>
  <c r="E76" i="76"/>
  <c r="AD75" i="76"/>
  <c r="AC75" i="76"/>
  <c r="AB75" i="76"/>
  <c r="AA75" i="76"/>
  <c r="Z75" i="76"/>
  <c r="Y75" i="76"/>
  <c r="X75" i="76"/>
  <c r="W75" i="76"/>
  <c r="V75" i="76"/>
  <c r="U75" i="76"/>
  <c r="T75" i="76"/>
  <c r="S75" i="76"/>
  <c r="R75" i="76"/>
  <c r="Q75" i="76"/>
  <c r="P75" i="76"/>
  <c r="O75" i="76"/>
  <c r="N75" i="76"/>
  <c r="M75" i="76"/>
  <c r="L75" i="76"/>
  <c r="K75" i="76"/>
  <c r="J75" i="76"/>
  <c r="I75" i="76"/>
  <c r="H75" i="76"/>
  <c r="G75" i="76"/>
  <c r="F75" i="76"/>
  <c r="E75" i="76"/>
  <c r="AD74" i="76"/>
  <c r="AC74" i="76"/>
  <c r="AB74" i="76"/>
  <c r="AA74" i="76"/>
  <c r="Z74" i="76"/>
  <c r="Y74" i="76"/>
  <c r="X74" i="76"/>
  <c r="W74" i="76"/>
  <c r="V74" i="76"/>
  <c r="U74" i="76"/>
  <c r="T74" i="76"/>
  <c r="S74" i="76"/>
  <c r="R74" i="76"/>
  <c r="Q74" i="76"/>
  <c r="P74" i="76"/>
  <c r="O74" i="76"/>
  <c r="N74" i="76"/>
  <c r="M74" i="76"/>
  <c r="L74" i="76"/>
  <c r="K74" i="76"/>
  <c r="J74" i="76"/>
  <c r="I74" i="76"/>
  <c r="H74" i="76"/>
  <c r="G74" i="76"/>
  <c r="F74" i="76"/>
  <c r="E74" i="76"/>
  <c r="U73" i="76"/>
  <c r="T73" i="76"/>
  <c r="AD72" i="76"/>
  <c r="AC72" i="76"/>
  <c r="AB72" i="76"/>
  <c r="AA72" i="76"/>
  <c r="Z72" i="76"/>
  <c r="Y72" i="76"/>
  <c r="X72" i="76"/>
  <c r="W72" i="76"/>
  <c r="V72" i="76"/>
  <c r="U72" i="76"/>
  <c r="T72" i="76"/>
  <c r="S72" i="76"/>
  <c r="R72" i="76"/>
  <c r="Q72" i="76"/>
  <c r="Q73" i="76" s="1"/>
  <c r="P72" i="76"/>
  <c r="O72" i="76"/>
  <c r="N72" i="76"/>
  <c r="M72" i="76"/>
  <c r="L72" i="76"/>
  <c r="K72" i="76"/>
  <c r="J72" i="76"/>
  <c r="I72" i="76"/>
  <c r="H72" i="76"/>
  <c r="G72" i="76"/>
  <c r="F72" i="76"/>
  <c r="E72" i="76"/>
  <c r="AD80" i="75"/>
  <c r="AC80" i="75"/>
  <c r="AB80" i="75"/>
  <c r="AA80" i="75"/>
  <c r="Z80" i="75"/>
  <c r="Y80" i="75"/>
  <c r="X80" i="75"/>
  <c r="W80" i="75"/>
  <c r="V80" i="75"/>
  <c r="U80" i="75"/>
  <c r="T80" i="75"/>
  <c r="S80" i="75"/>
  <c r="R80" i="75"/>
  <c r="Q80" i="75"/>
  <c r="P80" i="75"/>
  <c r="O80" i="75"/>
  <c r="N80" i="75"/>
  <c r="M80" i="75"/>
  <c r="L80" i="75"/>
  <c r="K80" i="75"/>
  <c r="J80" i="75"/>
  <c r="I80" i="75"/>
  <c r="H80" i="75"/>
  <c r="G80" i="75"/>
  <c r="F80" i="75"/>
  <c r="E80" i="75"/>
  <c r="AD79" i="75"/>
  <c r="AC79" i="75"/>
  <c r="AB79" i="75"/>
  <c r="AA79" i="75"/>
  <c r="Z79" i="75"/>
  <c r="Y79" i="75"/>
  <c r="X79" i="75"/>
  <c r="W79" i="75"/>
  <c r="V79" i="75"/>
  <c r="U79" i="75"/>
  <c r="T79" i="75"/>
  <c r="S79" i="75"/>
  <c r="R79" i="75"/>
  <c r="Q79" i="75"/>
  <c r="P79" i="75"/>
  <c r="O79" i="75"/>
  <c r="N79" i="75"/>
  <c r="M79" i="75"/>
  <c r="L79" i="75"/>
  <c r="K79" i="75"/>
  <c r="J79" i="75"/>
  <c r="I79" i="75"/>
  <c r="H79" i="75"/>
  <c r="G79" i="75"/>
  <c r="F79" i="75"/>
  <c r="E79" i="75"/>
  <c r="AD78" i="75"/>
  <c r="AC78" i="75"/>
  <c r="AB78" i="75"/>
  <c r="AA78" i="75"/>
  <c r="Z78" i="75"/>
  <c r="Y78" i="75"/>
  <c r="X78" i="75"/>
  <c r="W78" i="75"/>
  <c r="V78" i="75"/>
  <c r="U78" i="75"/>
  <c r="T78" i="75"/>
  <c r="S78" i="75"/>
  <c r="R78" i="75"/>
  <c r="Q78" i="75"/>
  <c r="P78" i="75"/>
  <c r="O78" i="75"/>
  <c r="N78" i="75"/>
  <c r="M78" i="75"/>
  <c r="L78" i="75"/>
  <c r="K78" i="75"/>
  <c r="J78" i="75"/>
  <c r="I78" i="75"/>
  <c r="H78" i="75"/>
  <c r="G78" i="75"/>
  <c r="F78" i="75"/>
  <c r="E78" i="75"/>
  <c r="AD77" i="75"/>
  <c r="AC77" i="75"/>
  <c r="AB77" i="75"/>
  <c r="AA77" i="75"/>
  <c r="Z77" i="75"/>
  <c r="Y77" i="75"/>
  <c r="X77" i="75"/>
  <c r="W77" i="75"/>
  <c r="V77" i="75"/>
  <c r="U77" i="75"/>
  <c r="T77" i="75"/>
  <c r="S77" i="75"/>
  <c r="R77" i="75"/>
  <c r="Q77" i="75"/>
  <c r="P77" i="75"/>
  <c r="O77" i="75"/>
  <c r="N77" i="75"/>
  <c r="M77" i="75"/>
  <c r="L77" i="75"/>
  <c r="K77" i="75"/>
  <c r="J77" i="75"/>
  <c r="I77" i="75"/>
  <c r="H77" i="75"/>
  <c r="G77" i="75"/>
  <c r="F77" i="75"/>
  <c r="E77" i="75"/>
  <c r="AD76" i="75"/>
  <c r="AC76" i="75"/>
  <c r="AB76" i="75"/>
  <c r="AA76" i="75"/>
  <c r="Z76" i="75"/>
  <c r="Y76" i="75"/>
  <c r="X76" i="75"/>
  <c r="W76" i="75"/>
  <c r="V76" i="75"/>
  <c r="U76" i="75"/>
  <c r="T76" i="75"/>
  <c r="S76" i="75"/>
  <c r="R76" i="75"/>
  <c r="Q76" i="75"/>
  <c r="P76" i="75"/>
  <c r="O76" i="75"/>
  <c r="N76" i="75"/>
  <c r="M76" i="75"/>
  <c r="L76" i="75"/>
  <c r="K76" i="75"/>
  <c r="J76" i="75"/>
  <c r="I76" i="75"/>
  <c r="H76" i="75"/>
  <c r="G76" i="75"/>
  <c r="F76" i="75"/>
  <c r="E76" i="75"/>
  <c r="AD75" i="75"/>
  <c r="AC75" i="75"/>
  <c r="AB75" i="75"/>
  <c r="AA75" i="75"/>
  <c r="Z75" i="75"/>
  <c r="Y75" i="75"/>
  <c r="X75" i="75"/>
  <c r="W75" i="75"/>
  <c r="V75" i="75"/>
  <c r="U75" i="75"/>
  <c r="T75" i="75"/>
  <c r="S75" i="75"/>
  <c r="R75" i="75"/>
  <c r="Q75" i="75"/>
  <c r="P75" i="75"/>
  <c r="O75" i="75"/>
  <c r="N75" i="75"/>
  <c r="M75" i="75"/>
  <c r="L75" i="75"/>
  <c r="K75" i="75"/>
  <c r="J75" i="75"/>
  <c r="I75" i="75"/>
  <c r="H75" i="75"/>
  <c r="G75" i="75"/>
  <c r="F75" i="75"/>
  <c r="E75" i="75"/>
  <c r="AD74" i="75"/>
  <c r="AC74" i="75"/>
  <c r="AB74" i="75"/>
  <c r="AA74" i="75"/>
  <c r="Z74" i="75"/>
  <c r="Y74" i="75"/>
  <c r="X74" i="75"/>
  <c r="W74" i="75"/>
  <c r="V74" i="75"/>
  <c r="U74" i="75"/>
  <c r="T74" i="75"/>
  <c r="S74" i="75"/>
  <c r="R74" i="75"/>
  <c r="Q74" i="75"/>
  <c r="P74" i="75"/>
  <c r="O74" i="75"/>
  <c r="N74" i="75"/>
  <c r="M74" i="75"/>
  <c r="L74" i="75"/>
  <c r="K74" i="75"/>
  <c r="J74" i="75"/>
  <c r="I74" i="75"/>
  <c r="H74" i="75"/>
  <c r="G74" i="75"/>
  <c r="F74" i="75"/>
  <c r="E74" i="75"/>
  <c r="AD72" i="75"/>
  <c r="AC72" i="75"/>
  <c r="AB72" i="75"/>
  <c r="AA72" i="75"/>
  <c r="Z72" i="75"/>
  <c r="Y72" i="75"/>
  <c r="X72" i="75"/>
  <c r="W72" i="75"/>
  <c r="V72" i="75"/>
  <c r="U72" i="75"/>
  <c r="T72" i="75"/>
  <c r="S72" i="75"/>
  <c r="R72" i="75"/>
  <c r="Q72" i="75"/>
  <c r="P72" i="75"/>
  <c r="O72" i="75"/>
  <c r="N72" i="75"/>
  <c r="M72" i="75"/>
  <c r="L72" i="75"/>
  <c r="K72" i="75"/>
  <c r="J72" i="75"/>
  <c r="I72" i="75"/>
  <c r="I73" i="75" s="1"/>
  <c r="H72" i="75"/>
  <c r="G72" i="75"/>
  <c r="F72" i="75"/>
  <c r="E72" i="75"/>
  <c r="AD45" i="74"/>
  <c r="AC45" i="74"/>
  <c r="AB45" i="74"/>
  <c r="AA45" i="74"/>
  <c r="Z45" i="74"/>
  <c r="Y45" i="74"/>
  <c r="X45" i="74"/>
  <c r="W45" i="74"/>
  <c r="V45" i="74"/>
  <c r="U45" i="74"/>
  <c r="T45" i="74"/>
  <c r="S45" i="74"/>
  <c r="R45" i="74"/>
  <c r="Q45" i="74"/>
  <c r="P45" i="74"/>
  <c r="O45" i="74"/>
  <c r="N45" i="74"/>
  <c r="M45" i="74"/>
  <c r="L45" i="74"/>
  <c r="K45" i="74"/>
  <c r="J45" i="74"/>
  <c r="I45" i="74"/>
  <c r="H45" i="74"/>
  <c r="G45" i="74"/>
  <c r="F45" i="74"/>
  <c r="E45" i="74"/>
  <c r="AD44" i="74"/>
  <c r="AC44" i="74"/>
  <c r="AB44" i="74"/>
  <c r="AA44" i="74"/>
  <c r="Z44" i="74"/>
  <c r="Y44" i="74"/>
  <c r="X44" i="74"/>
  <c r="W44" i="74"/>
  <c r="V44" i="74"/>
  <c r="U44" i="74"/>
  <c r="T44" i="74"/>
  <c r="S44" i="74"/>
  <c r="R44" i="74"/>
  <c r="Q44" i="74"/>
  <c r="P44" i="74"/>
  <c r="O44" i="74"/>
  <c r="N44" i="74"/>
  <c r="M44" i="74"/>
  <c r="L44" i="74"/>
  <c r="K44" i="74"/>
  <c r="J44" i="74"/>
  <c r="I44" i="74"/>
  <c r="H44" i="74"/>
  <c r="G44" i="74"/>
  <c r="F44" i="74"/>
  <c r="E44" i="74"/>
  <c r="AD43" i="74"/>
  <c r="AC43" i="74"/>
  <c r="AB43" i="74"/>
  <c r="AA43" i="74"/>
  <c r="Z43" i="74"/>
  <c r="Y43" i="74"/>
  <c r="X43" i="74"/>
  <c r="W43" i="74"/>
  <c r="V43" i="74"/>
  <c r="U43" i="74"/>
  <c r="T43" i="74"/>
  <c r="S43" i="74"/>
  <c r="R43" i="74"/>
  <c r="Q43" i="74"/>
  <c r="P43" i="74"/>
  <c r="O43" i="74"/>
  <c r="N43" i="74"/>
  <c r="M43" i="74"/>
  <c r="L43" i="74"/>
  <c r="K43" i="74"/>
  <c r="J43" i="74"/>
  <c r="I43" i="74"/>
  <c r="H43" i="74"/>
  <c r="G43" i="74"/>
  <c r="F43" i="74"/>
  <c r="E43" i="74"/>
  <c r="AD42" i="74"/>
  <c r="AC42" i="74"/>
  <c r="AB42" i="74"/>
  <c r="AA42" i="74"/>
  <c r="Z42" i="74"/>
  <c r="Y42" i="74"/>
  <c r="X42" i="74"/>
  <c r="W42" i="74"/>
  <c r="V42" i="74"/>
  <c r="U42" i="74"/>
  <c r="T42" i="74"/>
  <c r="S42" i="74"/>
  <c r="R42" i="74"/>
  <c r="Q42" i="74"/>
  <c r="P42" i="74"/>
  <c r="O42" i="74"/>
  <c r="N42" i="74"/>
  <c r="M42" i="74"/>
  <c r="L42" i="74"/>
  <c r="K42" i="74"/>
  <c r="J42" i="74"/>
  <c r="I42" i="74"/>
  <c r="H42" i="74"/>
  <c r="G42" i="74"/>
  <c r="F42" i="74"/>
  <c r="E42" i="74"/>
  <c r="AD41" i="74"/>
  <c r="AC41" i="74"/>
  <c r="AB41" i="74"/>
  <c r="AA41" i="74"/>
  <c r="Z41" i="74"/>
  <c r="Y41" i="74"/>
  <c r="X41" i="74"/>
  <c r="W41" i="74"/>
  <c r="V41" i="74"/>
  <c r="U41" i="74"/>
  <c r="T41" i="74"/>
  <c r="S41" i="74"/>
  <c r="R41" i="74"/>
  <c r="Q41" i="74"/>
  <c r="P41" i="74"/>
  <c r="O41" i="74"/>
  <c r="N41" i="74"/>
  <c r="M41" i="74"/>
  <c r="L41" i="74"/>
  <c r="K41" i="74"/>
  <c r="J41" i="74"/>
  <c r="I41" i="74"/>
  <c r="H41" i="74"/>
  <c r="G41" i="74"/>
  <c r="F41" i="74"/>
  <c r="E41" i="74"/>
  <c r="AD40" i="74"/>
  <c r="AC40" i="74"/>
  <c r="AB40" i="74"/>
  <c r="AA40" i="74"/>
  <c r="Z40" i="74"/>
  <c r="Y40" i="74"/>
  <c r="X40" i="74"/>
  <c r="W40" i="74"/>
  <c r="V40" i="74"/>
  <c r="U40" i="74"/>
  <c r="T40" i="74"/>
  <c r="S40" i="74"/>
  <c r="R40" i="74"/>
  <c r="Q40" i="74"/>
  <c r="P40" i="74"/>
  <c r="O40" i="74"/>
  <c r="N40" i="74"/>
  <c r="M40" i="74"/>
  <c r="L40" i="74"/>
  <c r="K40" i="74"/>
  <c r="J40" i="74"/>
  <c r="I40" i="74"/>
  <c r="H40" i="74"/>
  <c r="G40" i="74"/>
  <c r="F40" i="74"/>
  <c r="E40" i="74"/>
  <c r="AD39" i="74"/>
  <c r="AC39" i="74"/>
  <c r="AB39" i="74"/>
  <c r="AA39" i="74"/>
  <c r="Z39" i="74"/>
  <c r="Y39" i="74"/>
  <c r="X39" i="74"/>
  <c r="W39" i="74"/>
  <c r="V39" i="74"/>
  <c r="U39" i="74"/>
  <c r="T39" i="74"/>
  <c r="S39" i="74"/>
  <c r="R39" i="74"/>
  <c r="Q39" i="74"/>
  <c r="P39" i="74"/>
  <c r="O39" i="74"/>
  <c r="N39" i="74"/>
  <c r="M39" i="74"/>
  <c r="L39" i="74"/>
  <c r="K39" i="74"/>
  <c r="J39" i="74"/>
  <c r="I39" i="74"/>
  <c r="H39" i="74"/>
  <c r="G39" i="74"/>
  <c r="F39" i="74"/>
  <c r="E39" i="74"/>
  <c r="AD37" i="74"/>
  <c r="AC37" i="74"/>
  <c r="AB37" i="74"/>
  <c r="AA37" i="74"/>
  <c r="Z37" i="74"/>
  <c r="Y37" i="74"/>
  <c r="X37" i="74"/>
  <c r="W37" i="74"/>
  <c r="V37" i="74"/>
  <c r="U37" i="74"/>
  <c r="T37" i="74"/>
  <c r="S37" i="74"/>
  <c r="R37" i="74"/>
  <c r="Q37" i="74"/>
  <c r="P37" i="74"/>
  <c r="P38" i="74" s="1"/>
  <c r="O37" i="74"/>
  <c r="N37" i="74"/>
  <c r="N38" i="74" s="1"/>
  <c r="M37" i="74"/>
  <c r="L37" i="74"/>
  <c r="K37" i="74"/>
  <c r="J37" i="74"/>
  <c r="I37" i="74"/>
  <c r="H37" i="74"/>
  <c r="H38" i="74" s="1"/>
  <c r="G37" i="74"/>
  <c r="F37" i="74"/>
  <c r="E37" i="74"/>
  <c r="X65" i="67" l="1"/>
  <c r="Y65" i="67"/>
  <c r="F65" i="67"/>
  <c r="AA65" i="67"/>
  <c r="H65" i="67"/>
  <c r="J65" i="67"/>
  <c r="K65" i="67"/>
  <c r="Z65" i="67"/>
  <c r="G65" i="67"/>
  <c r="I65" i="67"/>
  <c r="L65" i="67"/>
  <c r="O65" i="67"/>
  <c r="E65" i="67"/>
  <c r="AB65" i="67"/>
  <c r="V65" i="67"/>
  <c r="W65" i="67"/>
  <c r="H73" i="75"/>
  <c r="AB73" i="75"/>
  <c r="T38" i="74"/>
  <c r="U38" i="74"/>
  <c r="S73" i="76"/>
  <c r="R73" i="76"/>
  <c r="Z73" i="76"/>
  <c r="F73" i="76"/>
  <c r="W73" i="76"/>
  <c r="E73" i="76"/>
  <c r="Y73" i="76"/>
  <c r="M73" i="76"/>
  <c r="O73" i="76"/>
  <c r="H73" i="76"/>
  <c r="G73" i="76"/>
  <c r="I73" i="76"/>
  <c r="L73" i="76"/>
  <c r="V73" i="76"/>
  <c r="J73" i="76"/>
  <c r="K73" i="76"/>
  <c r="N73" i="76"/>
  <c r="P73" i="76"/>
  <c r="AA73" i="76"/>
  <c r="AB73" i="76"/>
  <c r="X73" i="76"/>
  <c r="R73" i="75"/>
  <c r="I38" i="74"/>
  <c r="AB38" i="74"/>
  <c r="Q38" i="74"/>
  <c r="AA38" i="74"/>
  <c r="V38" i="74"/>
  <c r="W38" i="74"/>
  <c r="E38" i="74"/>
  <c r="F38" i="74"/>
  <c r="J38" i="74"/>
  <c r="Y38" i="74"/>
  <c r="G38" i="74"/>
  <c r="K38" i="74"/>
  <c r="L38" i="74"/>
  <c r="O38" i="74"/>
  <c r="M38" i="74"/>
  <c r="Z38" i="74"/>
  <c r="X38" i="74"/>
  <c r="R38" i="74"/>
  <c r="N73" i="75"/>
  <c r="U73" i="75"/>
  <c r="Q73" i="75"/>
  <c r="W73" i="75"/>
  <c r="S73" i="75"/>
  <c r="T73" i="75"/>
  <c r="F73" i="75"/>
  <c r="J73" i="75"/>
  <c r="K73" i="75"/>
  <c r="L73" i="75"/>
  <c r="M73" i="75"/>
  <c r="Y73" i="75"/>
  <c r="X73" i="75"/>
  <c r="E73" i="75"/>
  <c r="Z73" i="75"/>
  <c r="O73" i="75"/>
  <c r="P73" i="75"/>
  <c r="V73" i="75"/>
  <c r="G73" i="75"/>
  <c r="AA73" i="75"/>
  <c r="S38" i="74"/>
  <c r="AD70" i="66" l="1"/>
  <c r="AC70" i="66"/>
  <c r="AB70" i="66"/>
  <c r="AA70" i="66"/>
  <c r="Z70" i="66"/>
  <c r="Y70" i="66"/>
  <c r="X70" i="66"/>
  <c r="W70" i="66"/>
  <c r="V70" i="66"/>
  <c r="U70" i="66"/>
  <c r="T70" i="66"/>
  <c r="S70" i="66"/>
  <c r="R70" i="66"/>
  <c r="Q70" i="66"/>
  <c r="P70" i="66"/>
  <c r="O70" i="66"/>
  <c r="N70" i="66"/>
  <c r="M70" i="66"/>
  <c r="L70" i="66"/>
  <c r="K70" i="66"/>
  <c r="J70" i="66"/>
  <c r="I70" i="66"/>
  <c r="H70" i="66"/>
  <c r="G70" i="66"/>
  <c r="AC71" i="66"/>
  <c r="AB71" i="66"/>
  <c r="AA71" i="66"/>
  <c r="Z71" i="66"/>
  <c r="Y71" i="66"/>
  <c r="X71" i="66"/>
  <c r="W71" i="66"/>
  <c r="W72" i="66"/>
  <c r="V71" i="66"/>
  <c r="U71" i="66"/>
  <c r="T71" i="66"/>
  <c r="S71" i="66"/>
  <c r="R71" i="66"/>
  <c r="Q71" i="66"/>
  <c r="P71" i="66"/>
  <c r="O71" i="66"/>
  <c r="N71" i="66"/>
  <c r="M71" i="66"/>
  <c r="L71" i="66"/>
  <c r="K71" i="66"/>
  <c r="J71" i="66"/>
  <c r="I71" i="66"/>
  <c r="H71" i="66"/>
  <c r="G71" i="66"/>
  <c r="F70" i="66"/>
  <c r="E70" i="66"/>
  <c r="AD71" i="66"/>
  <c r="AD72" i="66"/>
  <c r="AC72" i="66"/>
  <c r="AB72" i="66"/>
  <c r="AA72" i="66"/>
  <c r="Z72" i="66"/>
  <c r="Y72" i="66"/>
  <c r="X72" i="66"/>
  <c r="V72" i="66"/>
  <c r="U72" i="66"/>
  <c r="T72" i="66"/>
  <c r="S72" i="66"/>
  <c r="R72" i="66"/>
  <c r="Q72" i="66"/>
  <c r="P72" i="66"/>
  <c r="O72" i="66"/>
  <c r="N72" i="66"/>
  <c r="M72" i="66"/>
  <c r="L72" i="66"/>
  <c r="K72" i="66"/>
  <c r="J72" i="66"/>
  <c r="I72" i="66"/>
  <c r="H72" i="66"/>
  <c r="G72" i="66"/>
  <c r="F72" i="66"/>
  <c r="E72" i="66"/>
  <c r="F71" i="66"/>
  <c r="E71" i="66"/>
  <c r="F66" i="66"/>
  <c r="G66" i="66"/>
  <c r="H66" i="66"/>
  <c r="I66" i="66"/>
  <c r="J66" i="66"/>
  <c r="K66" i="66"/>
  <c r="L66" i="66"/>
  <c r="M66" i="66"/>
  <c r="N66" i="66"/>
  <c r="O66" i="66"/>
  <c r="P66" i="66"/>
  <c r="Q66" i="66"/>
  <c r="R66" i="66"/>
  <c r="S66" i="66"/>
  <c r="T66" i="66"/>
  <c r="U66" i="66"/>
  <c r="V66" i="66"/>
  <c r="W66" i="66"/>
  <c r="X66" i="66"/>
  <c r="Y66" i="66"/>
  <c r="Z66" i="66"/>
  <c r="AA66" i="66"/>
  <c r="AB66" i="66"/>
  <c r="AC66" i="66"/>
  <c r="AD66" i="66"/>
  <c r="F67" i="66"/>
  <c r="G67" i="66"/>
  <c r="H67" i="66"/>
  <c r="I67" i="66"/>
  <c r="J67" i="66"/>
  <c r="K67" i="66"/>
  <c r="L67" i="66"/>
  <c r="M67" i="66"/>
  <c r="N67" i="66"/>
  <c r="O67" i="66"/>
  <c r="P67" i="66"/>
  <c r="Q67" i="66"/>
  <c r="R67" i="66"/>
  <c r="S67" i="66"/>
  <c r="T67" i="66"/>
  <c r="U67" i="66"/>
  <c r="V67" i="66"/>
  <c r="W67" i="66"/>
  <c r="X67" i="66"/>
  <c r="Y67" i="66"/>
  <c r="Z67" i="66"/>
  <c r="AA67" i="66"/>
  <c r="AB67" i="66"/>
  <c r="AC67" i="66"/>
  <c r="AD67" i="66"/>
  <c r="E67" i="66"/>
  <c r="E66" i="66"/>
  <c r="G65" i="66"/>
  <c r="F68" i="66"/>
  <c r="G68" i="66"/>
  <c r="H68" i="66"/>
  <c r="I68" i="66"/>
  <c r="J68" i="66"/>
  <c r="K68" i="66"/>
  <c r="L68" i="66"/>
  <c r="M68" i="66"/>
  <c r="N68" i="66"/>
  <c r="O68" i="66"/>
  <c r="P68" i="66"/>
  <c r="Q68" i="66"/>
  <c r="R68" i="66"/>
  <c r="S68" i="66"/>
  <c r="T68" i="66"/>
  <c r="U68" i="66"/>
  <c r="V68" i="66"/>
  <c r="W68" i="66"/>
  <c r="X68" i="66"/>
  <c r="Y68" i="66"/>
  <c r="Z68" i="66"/>
  <c r="AA68" i="66"/>
  <c r="AB68" i="66"/>
  <c r="AC68" i="66"/>
  <c r="AD68" i="66"/>
  <c r="F69" i="66"/>
  <c r="G69" i="66"/>
  <c r="H69" i="66"/>
  <c r="I69" i="66"/>
  <c r="J69" i="66"/>
  <c r="K69" i="66"/>
  <c r="L69" i="66"/>
  <c r="M69" i="66"/>
  <c r="N69" i="66"/>
  <c r="O69" i="66"/>
  <c r="P69" i="66"/>
  <c r="Q69" i="66"/>
  <c r="R69" i="66"/>
  <c r="S69" i="66"/>
  <c r="T69" i="66"/>
  <c r="U69" i="66"/>
  <c r="V69" i="66"/>
  <c r="W69" i="66"/>
  <c r="X69" i="66"/>
  <c r="Y69" i="66"/>
  <c r="Z69" i="66"/>
  <c r="AA69" i="66"/>
  <c r="AB69" i="66"/>
  <c r="AC69" i="66"/>
  <c r="AD69" i="66"/>
  <c r="E69" i="66"/>
  <c r="E68" i="66"/>
  <c r="AD64" i="66"/>
  <c r="F64" i="66"/>
  <c r="G64" i="66"/>
  <c r="F65" i="66" s="1"/>
  <c r="H64" i="66"/>
  <c r="I64" i="66"/>
  <c r="H65" i="66" s="1"/>
  <c r="J64" i="66"/>
  <c r="I65" i="66" s="1"/>
  <c r="K64" i="66"/>
  <c r="J65" i="66" s="1"/>
  <c r="L64" i="66"/>
  <c r="K65" i="66" s="1"/>
  <c r="M64" i="66"/>
  <c r="L65" i="66" s="1"/>
  <c r="N64" i="66"/>
  <c r="M65" i="66" s="1"/>
  <c r="O64" i="66"/>
  <c r="P64" i="66"/>
  <c r="Q64" i="66"/>
  <c r="R64" i="66"/>
  <c r="Q65" i="66" s="1"/>
  <c r="S64" i="66"/>
  <c r="T64" i="66"/>
  <c r="U64" i="66"/>
  <c r="V64" i="66"/>
  <c r="U65" i="66" s="1"/>
  <c r="W64" i="66"/>
  <c r="X64" i="66"/>
  <c r="W65" i="66" s="1"/>
  <c r="Y64" i="66"/>
  <c r="Z64" i="66"/>
  <c r="Y65" i="66" s="1"/>
  <c r="AA64" i="66"/>
  <c r="Z65" i="66" s="1"/>
  <c r="AB64" i="66"/>
  <c r="AC64" i="66"/>
  <c r="AB65" i="66" s="1"/>
  <c r="S65" i="66" l="1"/>
  <c r="X65" i="66"/>
  <c r="P65" i="66"/>
  <c r="V65" i="66"/>
  <c r="N65" i="66"/>
  <c r="AA65" i="66"/>
  <c r="T65" i="66"/>
  <c r="O65" i="66"/>
  <c r="R65" i="66"/>
  <c r="E64" i="66" l="1"/>
  <c r="E65" i="66" s="1"/>
</calcChain>
</file>

<file path=xl/sharedStrings.xml><?xml version="1.0" encoding="utf-8"?>
<sst xmlns="http://schemas.openxmlformats.org/spreadsheetml/2006/main" count="225" uniqueCount="48">
  <si>
    <t>전장</t>
    <phoneticPr fontId="1" type="noConversion"/>
  </si>
  <si>
    <t>품명</t>
    <phoneticPr fontId="1" type="noConversion"/>
  </si>
  <si>
    <t>측정 값</t>
    <phoneticPr fontId="1" type="noConversion"/>
  </si>
  <si>
    <t>측정 장비</t>
    <phoneticPr fontId="1" type="noConversion"/>
  </si>
  <si>
    <t>LM-X 100TL
이미지측정기</t>
    <phoneticPr fontId="1" type="noConversion"/>
  </si>
  <si>
    <t>D0</t>
    <phoneticPr fontId="1" type="noConversion"/>
  </si>
  <si>
    <t>Confirm Fit GP #F1</t>
    <phoneticPr fontId="1" type="noConversion"/>
  </si>
  <si>
    <t>D16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</si>
  <si>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</si>
  <si>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</si>
  <si>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</si>
  <si>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</si>
  <si>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</si>
  <si>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</si>
  <si>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</si>
  <si>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</si>
  <si>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</si>
  <si>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</si>
  <si>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</si>
  <si>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</si>
  <si>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</si>
  <si>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</si>
  <si>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D17</t>
  </si>
  <si>
    <t>D18</t>
  </si>
  <si>
    <t>D19</t>
  </si>
  <si>
    <t>D20</t>
  </si>
  <si>
    <t>D21</t>
  </si>
  <si>
    <t>D22</t>
  </si>
  <si>
    <t>D23</t>
  </si>
  <si>
    <t>D24</t>
  </si>
  <si>
    <t>Confirm Fit GP #F2</t>
    <phoneticPr fontId="1" type="noConversion"/>
  </si>
  <si>
    <t>Confirm Fit GP #F3</t>
    <phoneticPr fontId="1" type="noConversion"/>
  </si>
  <si>
    <t>Confirm Fit GP #FX</t>
    <phoneticPr fontId="1" type="noConversion"/>
  </si>
  <si>
    <t>Confirm Fit GP #FXL</t>
    <phoneticPr fontId="1" type="noConversion"/>
  </si>
  <si>
    <t>No</t>
    <phoneticPr fontId="1" type="noConversion"/>
  </si>
  <si>
    <t>D1</t>
  </si>
  <si>
    <t>평균값</t>
    <phoneticPr fontId="1" type="noConversion"/>
  </si>
  <si>
    <t>양산하한치</t>
    <phoneticPr fontId="1" type="noConversion"/>
  </si>
  <si>
    <t>양산상한치</t>
    <phoneticPr fontId="1" type="noConversion"/>
  </si>
  <si>
    <t>평균 Taper값</t>
    <phoneticPr fontId="1" type="noConversion"/>
  </si>
  <si>
    <t>최소값</t>
    <phoneticPr fontId="1" type="noConversion"/>
  </si>
  <si>
    <t>최대값</t>
    <phoneticPr fontId="1" type="noConversion"/>
  </si>
  <si>
    <t>최종공차</t>
    <phoneticPr fontId="1" type="noConversion"/>
  </si>
  <si>
    <t>공차 1</t>
    <phoneticPr fontId="1" type="noConversion"/>
  </si>
  <si>
    <t>공차 2</t>
    <phoneticPr fontId="1" type="noConversion"/>
  </si>
  <si>
    <t>상하위 5% 제외</t>
    <phoneticPr fontId="1" type="noConversion"/>
  </si>
  <si>
    <t>기준값2</t>
    <phoneticPr fontId="1" type="noConversion"/>
  </si>
  <si>
    <t>기준값1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</si>
</sst>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\ &quot;mm&quot;"/>
    <numFmt numFmtId="178" formatCode="0.00\ &quot;mm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A62F-0A1A-43BB-97D5-59CF6F597ACB}">
  <dimension ref="A1:AD60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21" sqref="I21"/>
    </sheetView>
  </sheetViews>
  <sheetFormatPr defaultRowHeight="16.5" x14ac:dyDescent="0.3"/>
  <cols>
    <col min="3" max="3" width="17.5" customWidth="1"/>
    <col min="4" max="4" width="11.375" bestFit="1" customWidth="1"/>
    <col min="27" max="27" width="8.875" customWidth="1"/>
  </cols>
  <sheetData>
    <row r="1" spans="1:30" x14ac:dyDescent="0.3">
      <c r="X1" s="4"/>
    </row>
    <row r="2" spans="1:30" ht="20.100000000000001" customHeight="1" x14ac:dyDescent="0.3">
      <c r="A2" s="9" t="s">
        <v>1</v>
      </c>
      <c r="B2" s="10"/>
      <c r="C2" s="9" t="s">
        <v>3</v>
      </c>
      <c r="D2" s="11" t="s">
        <v>34</v>
      </c>
      <c r="E2" s="11" t="s">
        <v>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20.100000000000001" customHeight="1" x14ac:dyDescent="0.3">
      <c r="A3" s="9"/>
      <c r="B3" s="10"/>
      <c r="C3" s="9"/>
      <c r="D3" s="11"/>
      <c r="E3" s="2" t="s">
        <v>5</v>
      </c>
      <c r="F3" s="2" t="s">
        <v>35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7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0</v>
      </c>
    </row>
    <row r="4" spans="1:30" ht="16.5" customHeight="1" x14ac:dyDescent="0.3">
      <c r="A4" s="12" t="s">
        <v>6</v>
      </c>
      <c r="B4" s="12"/>
      <c r="C4" s="12" t="s">
        <v>4</v>
      </c>
      <c r="D4" s="1">
        <v>1</v>
      </c>
      <c r="E4" s="5">
        <v>0.248</v>
      </c>
      <c r="F4" s="5">
        <v>0.28000000000000003</v>
      </c>
      <c r="G4" s="5">
        <v>0.35</v>
      </c>
      <c r="H4" s="5">
        <v>0.42799999999999999</v>
      </c>
      <c r="I4" s="5">
        <v>0.495</v>
      </c>
      <c r="J4" s="5">
        <v>0.53800000000000003</v>
      </c>
      <c r="K4" s="5">
        <v>0.59099999999999997</v>
      </c>
      <c r="L4" s="5">
        <v>0.64700000000000002</v>
      </c>
      <c r="M4" s="5">
        <v>0.71399999999999997</v>
      </c>
      <c r="N4" s="5">
        <v>0.745</v>
      </c>
      <c r="O4" s="5">
        <v>0.78600000000000003</v>
      </c>
      <c r="P4" s="5">
        <v>0.84599999999999997</v>
      </c>
      <c r="Q4" s="5">
        <v>0.88800000000000001</v>
      </c>
      <c r="R4" s="5">
        <v>0.94299999999999995</v>
      </c>
      <c r="S4" s="5">
        <v>0.97</v>
      </c>
      <c r="T4" s="5">
        <v>0.97899999999999998</v>
      </c>
      <c r="U4" s="5">
        <v>1.0109999999999999</v>
      </c>
      <c r="V4" s="5">
        <v>1</v>
      </c>
      <c r="W4" s="5">
        <v>1.0089999999999999</v>
      </c>
      <c r="X4" s="5">
        <v>1.0029999999999999</v>
      </c>
      <c r="Y4" s="5">
        <v>1.02</v>
      </c>
      <c r="Z4" s="5">
        <v>1.083</v>
      </c>
      <c r="AA4" s="5">
        <v>1.1040000000000001</v>
      </c>
      <c r="AB4" s="5">
        <v>1.008</v>
      </c>
      <c r="AC4" s="5">
        <v>1.018</v>
      </c>
      <c r="AD4" s="5">
        <v>29.344999999999999</v>
      </c>
    </row>
    <row r="5" spans="1:30" ht="16.5" customHeight="1" x14ac:dyDescent="0.3">
      <c r="A5" s="12"/>
      <c r="B5" s="12"/>
      <c r="C5" s="12"/>
      <c r="D5" s="1">
        <v>2</v>
      </c>
      <c r="E5" s="5">
        <v>0.217</v>
      </c>
      <c r="F5" s="5">
        <v>0.27800000000000002</v>
      </c>
      <c r="G5" s="5">
        <v>0.34799999999999998</v>
      </c>
      <c r="H5" s="5">
        <v>0.436</v>
      </c>
      <c r="I5" s="5">
        <v>0.495</v>
      </c>
      <c r="J5" s="5">
        <v>0.55200000000000005</v>
      </c>
      <c r="K5" s="5">
        <v>0.60799999999999998</v>
      </c>
      <c r="L5" s="5">
        <v>0.65600000000000003</v>
      </c>
      <c r="M5" s="5">
        <v>0.70699999999999996</v>
      </c>
      <c r="N5" s="5">
        <v>0.75900000000000001</v>
      </c>
      <c r="O5" s="5">
        <v>0.81499999999999995</v>
      </c>
      <c r="P5" s="5">
        <v>0.86099999999999999</v>
      </c>
      <c r="Q5" s="5">
        <v>0.91500000000000004</v>
      </c>
      <c r="R5" s="5">
        <v>0.94499999999999995</v>
      </c>
      <c r="S5" s="5">
        <v>0.95899999999999996</v>
      </c>
      <c r="T5" s="5">
        <v>0.97499999999999998</v>
      </c>
      <c r="U5" s="5">
        <v>1.02</v>
      </c>
      <c r="V5" s="5">
        <v>0.98899999999999999</v>
      </c>
      <c r="W5" s="5">
        <v>0.995</v>
      </c>
      <c r="X5" s="5">
        <v>1.0189999999999999</v>
      </c>
      <c r="Y5" s="5">
        <v>1.0029999999999999</v>
      </c>
      <c r="Z5" s="5">
        <v>1.0549999999999999</v>
      </c>
      <c r="AA5" s="5">
        <v>1.071</v>
      </c>
      <c r="AB5" s="5">
        <v>1.052</v>
      </c>
      <c r="AC5" s="5">
        <v>1.107</v>
      </c>
      <c r="AD5" s="5">
        <v>29.370999999999999</v>
      </c>
    </row>
    <row r="6" spans="1:30" ht="16.5" customHeight="1" x14ac:dyDescent="0.3">
      <c r="A6" s="12"/>
      <c r="B6" s="12"/>
      <c r="C6" s="12"/>
      <c r="D6" s="1">
        <v>3</v>
      </c>
      <c r="E6" s="5">
        <v>0.26300000000000001</v>
      </c>
      <c r="F6" s="5">
        <v>0.28499999999999998</v>
      </c>
      <c r="G6" s="5">
        <v>0.36299999999999999</v>
      </c>
      <c r="H6" s="5">
        <v>0.432</v>
      </c>
      <c r="I6" s="5">
        <v>0.48799999999999999</v>
      </c>
      <c r="J6" s="5">
        <v>0.54500000000000004</v>
      </c>
      <c r="K6" s="5">
        <v>0.60499999999999998</v>
      </c>
      <c r="L6" s="5">
        <v>0.65500000000000003</v>
      </c>
      <c r="M6" s="5">
        <v>0.70099999999999996</v>
      </c>
      <c r="N6" s="5">
        <v>0.75</v>
      </c>
      <c r="O6" s="5">
        <v>0.79200000000000004</v>
      </c>
      <c r="P6" s="5">
        <v>0.83699999999999997</v>
      </c>
      <c r="Q6" s="5">
        <v>0.88200000000000001</v>
      </c>
      <c r="R6" s="5">
        <v>0.92800000000000005</v>
      </c>
      <c r="S6" s="5">
        <v>0.95</v>
      </c>
      <c r="T6" s="5">
        <v>1.0349999999999999</v>
      </c>
      <c r="U6" s="5">
        <v>1.0029999999999999</v>
      </c>
      <c r="V6" s="5">
        <v>1.04</v>
      </c>
      <c r="W6" s="5">
        <v>1.024</v>
      </c>
      <c r="X6" s="5">
        <v>0.98899999999999999</v>
      </c>
      <c r="Y6" s="5">
        <v>0.995</v>
      </c>
      <c r="Z6" s="5">
        <v>1.01</v>
      </c>
      <c r="AA6" s="5">
        <v>1.0569999999999999</v>
      </c>
      <c r="AB6" s="5">
        <v>1.1000000000000001</v>
      </c>
      <c r="AC6" s="5">
        <v>1.119</v>
      </c>
      <c r="AD6" s="5">
        <v>29.19</v>
      </c>
    </row>
    <row r="7" spans="1:30" ht="16.5" customHeight="1" x14ac:dyDescent="0.3">
      <c r="A7" s="12"/>
      <c r="B7" s="12"/>
      <c r="C7" s="12"/>
      <c r="D7" s="1">
        <v>4</v>
      </c>
      <c r="E7" s="5">
        <v>0.27900000000000003</v>
      </c>
      <c r="F7" s="5">
        <v>0.28199999999999997</v>
      </c>
      <c r="G7" s="5">
        <v>0.36</v>
      </c>
      <c r="H7" s="5">
        <v>0.43</v>
      </c>
      <c r="I7" s="5">
        <v>0.495</v>
      </c>
      <c r="J7" s="5">
        <v>0.56200000000000006</v>
      </c>
      <c r="K7" s="5">
        <v>0.61799999999999999</v>
      </c>
      <c r="L7" s="5">
        <v>0.66500000000000004</v>
      </c>
      <c r="M7" s="5">
        <v>0.71499999999999997</v>
      </c>
      <c r="N7" s="5">
        <v>0.754</v>
      </c>
      <c r="O7" s="5">
        <v>0.80500000000000005</v>
      </c>
      <c r="P7" s="5">
        <v>0.85799999999999998</v>
      </c>
      <c r="Q7" s="5">
        <v>0.89200000000000002</v>
      </c>
      <c r="R7" s="5">
        <v>0.91300000000000003</v>
      </c>
      <c r="S7" s="5">
        <v>0.95899999999999996</v>
      </c>
      <c r="T7" s="5">
        <v>0.98199999999999998</v>
      </c>
      <c r="U7" s="5">
        <v>0.98199999999999998</v>
      </c>
      <c r="V7" s="5">
        <v>1.004</v>
      </c>
      <c r="W7" s="5">
        <v>1</v>
      </c>
      <c r="X7" s="5">
        <v>1.0169999999999999</v>
      </c>
      <c r="Y7" s="5">
        <v>1</v>
      </c>
      <c r="Z7" s="5">
        <v>1.018</v>
      </c>
      <c r="AA7" s="5">
        <v>1.0149999999999999</v>
      </c>
      <c r="AB7" s="5">
        <v>1.036</v>
      </c>
      <c r="AC7" s="5">
        <v>1.119</v>
      </c>
      <c r="AD7" s="5">
        <v>29.239000000000001</v>
      </c>
    </row>
    <row r="8" spans="1:30" ht="16.5" customHeight="1" x14ac:dyDescent="0.3">
      <c r="A8" s="12"/>
      <c r="B8" s="12"/>
      <c r="C8" s="12"/>
      <c r="D8" s="1">
        <v>5</v>
      </c>
      <c r="E8" s="5">
        <v>0.22700000000000001</v>
      </c>
      <c r="F8" s="5">
        <v>0.27800000000000002</v>
      </c>
      <c r="G8" s="5">
        <v>0.34899999999999998</v>
      </c>
      <c r="H8" s="5">
        <v>0.42</v>
      </c>
      <c r="I8" s="5">
        <v>0.47799999999999998</v>
      </c>
      <c r="J8" s="5">
        <v>0.52800000000000002</v>
      </c>
      <c r="K8" s="5">
        <v>0.58599999999999997</v>
      </c>
      <c r="L8" s="5">
        <v>0.63600000000000001</v>
      </c>
      <c r="M8" s="5">
        <v>0.68700000000000006</v>
      </c>
      <c r="N8" s="5">
        <v>0.73399999999999999</v>
      </c>
      <c r="O8" s="5">
        <v>0.77300000000000002</v>
      </c>
      <c r="P8" s="5">
        <v>0.81899999999999995</v>
      </c>
      <c r="Q8" s="5">
        <v>0.87</v>
      </c>
      <c r="R8" s="5">
        <v>0.91200000000000003</v>
      </c>
      <c r="S8" s="5">
        <v>0.95099999999999996</v>
      </c>
      <c r="T8" s="5">
        <v>0.97299999999999998</v>
      </c>
      <c r="U8" s="5">
        <v>0.99</v>
      </c>
      <c r="V8" s="5">
        <v>0.98799999999999999</v>
      </c>
      <c r="W8" s="5">
        <v>0.99299999999999999</v>
      </c>
      <c r="X8" s="5">
        <v>0.999</v>
      </c>
      <c r="Y8" s="5">
        <v>0.98699999999999999</v>
      </c>
      <c r="Z8" s="5">
        <v>0.99299999999999999</v>
      </c>
      <c r="AA8" s="5">
        <v>1.01</v>
      </c>
      <c r="AB8" s="5">
        <v>1.0669999999999999</v>
      </c>
      <c r="AC8" s="5">
        <v>1.1060000000000001</v>
      </c>
      <c r="AD8" s="5">
        <v>29.437999999999999</v>
      </c>
    </row>
    <row r="9" spans="1:30" ht="16.5" customHeight="1" x14ac:dyDescent="0.3">
      <c r="A9" s="12"/>
      <c r="B9" s="12"/>
      <c r="C9" s="12"/>
      <c r="D9" s="1">
        <v>6</v>
      </c>
      <c r="E9" s="5">
        <v>0.23799999999999999</v>
      </c>
      <c r="F9" s="5">
        <v>0.27800000000000002</v>
      </c>
      <c r="G9" s="5">
        <v>0.35299999999999998</v>
      </c>
      <c r="H9" s="5">
        <v>0.42699999999999999</v>
      </c>
      <c r="I9" s="5">
        <v>0.48799999999999999</v>
      </c>
      <c r="J9" s="5">
        <v>0.54900000000000004</v>
      </c>
      <c r="K9" s="5">
        <v>0.61599999999999999</v>
      </c>
      <c r="L9" s="5">
        <v>0.66400000000000003</v>
      </c>
      <c r="M9" s="5">
        <v>0.72</v>
      </c>
      <c r="N9" s="5">
        <v>0.76100000000000001</v>
      </c>
      <c r="O9" s="5">
        <v>0.79900000000000004</v>
      </c>
      <c r="P9" s="5">
        <v>0.85299999999999998</v>
      </c>
      <c r="Q9" s="5">
        <v>0.90600000000000003</v>
      </c>
      <c r="R9" s="5">
        <v>0.93500000000000005</v>
      </c>
      <c r="S9" s="5">
        <v>0.95599999999999996</v>
      </c>
      <c r="T9" s="5">
        <v>0.97199999999999998</v>
      </c>
      <c r="U9" s="5">
        <v>1.004</v>
      </c>
      <c r="V9" s="5">
        <v>0.98699999999999999</v>
      </c>
      <c r="W9" s="5">
        <v>0.99099999999999999</v>
      </c>
      <c r="X9" s="5">
        <v>0.996</v>
      </c>
      <c r="Y9" s="5">
        <v>0.99199999999999999</v>
      </c>
      <c r="Z9" s="5">
        <v>1.018</v>
      </c>
      <c r="AA9" s="5">
        <v>1.0780000000000001</v>
      </c>
      <c r="AB9" s="5">
        <v>1.0669999999999999</v>
      </c>
      <c r="AC9" s="5">
        <v>1.0940000000000001</v>
      </c>
      <c r="AD9" s="5">
        <v>29.375</v>
      </c>
    </row>
    <row r="10" spans="1:30" ht="16.5" customHeight="1" x14ac:dyDescent="0.3">
      <c r="A10" s="12"/>
      <c r="B10" s="12"/>
      <c r="C10" s="12"/>
      <c r="D10" s="1">
        <v>7</v>
      </c>
      <c r="E10" s="5">
        <v>0.23799999999999999</v>
      </c>
      <c r="F10" s="5">
        <v>0.28000000000000003</v>
      </c>
      <c r="G10" s="5">
        <v>0.35299999999999998</v>
      </c>
      <c r="H10" s="5">
        <v>0.43099999999999999</v>
      </c>
      <c r="I10" s="5">
        <v>0.49</v>
      </c>
      <c r="J10" s="5">
        <v>0.53900000000000003</v>
      </c>
      <c r="K10" s="5">
        <v>0.61099999999999999</v>
      </c>
      <c r="L10" s="5">
        <v>0.65400000000000003</v>
      </c>
      <c r="M10" s="5">
        <v>0.70899999999999996</v>
      </c>
      <c r="N10" s="5">
        <v>0.753</v>
      </c>
      <c r="O10" s="5">
        <v>0.79500000000000004</v>
      </c>
      <c r="P10" s="5">
        <v>0.82799999999999996</v>
      </c>
      <c r="Q10" s="5">
        <v>0.88500000000000001</v>
      </c>
      <c r="R10" s="5">
        <v>0.92</v>
      </c>
      <c r="S10" s="5">
        <v>0.94599999999999995</v>
      </c>
      <c r="T10" s="5">
        <v>0.97499999999999998</v>
      </c>
      <c r="U10" s="5">
        <v>1</v>
      </c>
      <c r="V10" s="5">
        <v>1.016</v>
      </c>
      <c r="W10" s="5">
        <v>0.99299999999999999</v>
      </c>
      <c r="X10" s="5">
        <v>1</v>
      </c>
      <c r="Y10" s="5">
        <v>1.0169999999999999</v>
      </c>
      <c r="Z10" s="5">
        <v>1.008</v>
      </c>
      <c r="AA10" s="5">
        <v>1.006</v>
      </c>
      <c r="AB10" s="5">
        <v>1.071</v>
      </c>
      <c r="AC10" s="5">
        <v>1.111</v>
      </c>
      <c r="AD10" s="5">
        <v>29.347999999999999</v>
      </c>
    </row>
    <row r="11" spans="1:30" ht="16.5" customHeight="1" x14ac:dyDescent="0.3">
      <c r="A11" s="12"/>
      <c r="B11" s="12"/>
      <c r="C11" s="12"/>
      <c r="D11" s="1">
        <v>8</v>
      </c>
      <c r="E11" s="5">
        <v>0.24</v>
      </c>
      <c r="F11" s="5">
        <v>0.28399999999999997</v>
      </c>
      <c r="G11" s="5">
        <v>0.35899999999999999</v>
      </c>
      <c r="H11" s="5">
        <v>0.439</v>
      </c>
      <c r="I11" s="5">
        <v>0.503</v>
      </c>
      <c r="J11" s="5">
        <v>0.55400000000000005</v>
      </c>
      <c r="K11" s="5">
        <v>0.60099999999999998</v>
      </c>
      <c r="L11" s="5">
        <v>0.65200000000000002</v>
      </c>
      <c r="M11" s="5">
        <v>0.71</v>
      </c>
      <c r="N11" s="5">
        <v>0.754</v>
      </c>
      <c r="O11" s="5">
        <v>0.79300000000000004</v>
      </c>
      <c r="P11" s="5">
        <v>0.84</v>
      </c>
      <c r="Q11" s="5">
        <v>0.88800000000000001</v>
      </c>
      <c r="R11" s="5">
        <v>0.96499999999999997</v>
      </c>
      <c r="S11" s="5">
        <v>0.99</v>
      </c>
      <c r="T11" s="5">
        <v>0.996</v>
      </c>
      <c r="U11" s="5">
        <v>1.0329999999999999</v>
      </c>
      <c r="V11" s="5">
        <v>1.0589999999999999</v>
      </c>
      <c r="W11" s="5">
        <v>1.0349999999999999</v>
      </c>
      <c r="X11" s="5">
        <v>1.0149999999999999</v>
      </c>
      <c r="Y11" s="5">
        <v>1.018</v>
      </c>
      <c r="Z11" s="5">
        <v>1.0209999999999999</v>
      </c>
      <c r="AA11" s="5">
        <v>1.0129999999999999</v>
      </c>
      <c r="AB11" s="5">
        <v>1.0860000000000001</v>
      </c>
      <c r="AC11" s="5">
        <v>1.008</v>
      </c>
      <c r="AD11" s="5">
        <v>29.33</v>
      </c>
    </row>
    <row r="12" spans="1:30" ht="16.5" customHeight="1" x14ac:dyDescent="0.3">
      <c r="A12" s="12"/>
      <c r="B12" s="12"/>
      <c r="C12" s="12"/>
      <c r="D12" s="1">
        <v>9</v>
      </c>
      <c r="E12" s="5">
        <v>0.248</v>
      </c>
      <c r="F12" s="5">
        <v>0.28399999999999997</v>
      </c>
      <c r="G12" s="5">
        <v>0.36099999999999999</v>
      </c>
      <c r="H12" s="5">
        <v>0.42</v>
      </c>
      <c r="I12" s="5">
        <v>0.49</v>
      </c>
      <c r="J12" s="5">
        <v>0.55400000000000005</v>
      </c>
      <c r="K12" s="5">
        <v>0.59199999999999997</v>
      </c>
      <c r="L12" s="5">
        <v>0.63400000000000001</v>
      </c>
      <c r="M12" s="5">
        <v>0.69299999999999995</v>
      </c>
      <c r="N12" s="5">
        <v>0.75</v>
      </c>
      <c r="O12" s="5">
        <v>0.78800000000000003</v>
      </c>
      <c r="P12" s="5">
        <v>0.84</v>
      </c>
      <c r="Q12" s="5">
        <v>0.88600000000000001</v>
      </c>
      <c r="R12" s="5">
        <v>0.93200000000000005</v>
      </c>
      <c r="S12" s="5">
        <v>0.94699999999999995</v>
      </c>
      <c r="T12" s="5">
        <v>0.96</v>
      </c>
      <c r="U12" s="5">
        <v>0.98499999999999999</v>
      </c>
      <c r="V12" s="5">
        <v>0.98899999999999999</v>
      </c>
      <c r="W12" s="5">
        <v>1</v>
      </c>
      <c r="X12" s="5">
        <v>0.98899999999999999</v>
      </c>
      <c r="Y12" s="5">
        <v>0.98899999999999999</v>
      </c>
      <c r="Z12" s="5">
        <v>0.98399999999999999</v>
      </c>
      <c r="AA12" s="5">
        <v>1.012</v>
      </c>
      <c r="AB12" s="5">
        <v>1.056</v>
      </c>
      <c r="AC12" s="5">
        <v>1.087</v>
      </c>
      <c r="AD12" s="5">
        <v>29.315999999999999</v>
      </c>
    </row>
    <row r="13" spans="1:30" ht="16.5" customHeight="1" x14ac:dyDescent="0.3">
      <c r="A13" s="12"/>
      <c r="B13" s="12"/>
      <c r="C13" s="12"/>
      <c r="D13" s="1">
        <v>10</v>
      </c>
      <c r="E13" s="5">
        <v>0.23200000000000001</v>
      </c>
      <c r="F13" s="5">
        <v>0.28000000000000003</v>
      </c>
      <c r="G13" s="5">
        <v>0.35199999999999998</v>
      </c>
      <c r="H13" s="5">
        <v>0.42299999999999999</v>
      </c>
      <c r="I13" s="5">
        <v>0.47499999999999998</v>
      </c>
      <c r="J13" s="5">
        <v>0.54300000000000004</v>
      </c>
      <c r="K13" s="5">
        <v>0.59899999999999998</v>
      </c>
      <c r="L13" s="5">
        <v>0.65300000000000002</v>
      </c>
      <c r="M13" s="5">
        <v>0.70399999999999996</v>
      </c>
      <c r="N13" s="5">
        <v>0.748</v>
      </c>
      <c r="O13" s="5">
        <v>0.78800000000000003</v>
      </c>
      <c r="P13" s="5">
        <v>0.83499999999999996</v>
      </c>
      <c r="Q13" s="5">
        <v>0.88300000000000001</v>
      </c>
      <c r="R13" s="5">
        <v>0.93</v>
      </c>
      <c r="S13" s="5">
        <v>0.94699999999999995</v>
      </c>
      <c r="T13" s="5">
        <v>0.97699999999999998</v>
      </c>
      <c r="U13" s="5">
        <v>0.996</v>
      </c>
      <c r="V13" s="5">
        <v>0.98899999999999999</v>
      </c>
      <c r="W13" s="5">
        <v>0.99199999999999999</v>
      </c>
      <c r="X13" s="5">
        <v>1.0049999999999999</v>
      </c>
      <c r="Y13" s="5">
        <v>1.0529999999999999</v>
      </c>
      <c r="Z13" s="5">
        <v>1.071</v>
      </c>
      <c r="AA13" s="5">
        <v>1.0609999999999999</v>
      </c>
      <c r="AB13" s="5">
        <v>1.0660000000000001</v>
      </c>
      <c r="AC13" s="5">
        <v>1.0249999999999999</v>
      </c>
      <c r="AD13" s="5">
        <v>29.292000000000002</v>
      </c>
    </row>
    <row r="14" spans="1:30" ht="16.5" customHeight="1" x14ac:dyDescent="0.3">
      <c r="A14" s="12"/>
      <c r="B14" s="12"/>
      <c r="C14" s="12"/>
      <c r="D14" s="1">
        <v>11</v>
      </c>
      <c r="E14" s="5">
        <v>0.23499999999999999</v>
      </c>
      <c r="F14" s="5">
        <v>0.28199999999999997</v>
      </c>
      <c r="G14" s="5">
        <v>0.35099999999999998</v>
      </c>
      <c r="H14" s="5">
        <v>0.42899999999999999</v>
      </c>
      <c r="I14" s="5">
        <v>0.495</v>
      </c>
      <c r="J14" s="5">
        <v>0.54500000000000004</v>
      </c>
      <c r="K14" s="5">
        <v>0.59199999999999997</v>
      </c>
      <c r="L14" s="5">
        <v>0.64200000000000002</v>
      </c>
      <c r="M14" s="5">
        <v>0.69</v>
      </c>
      <c r="N14" s="5">
        <v>0.73899999999999999</v>
      </c>
      <c r="O14" s="5">
        <v>0.78400000000000003</v>
      </c>
      <c r="P14" s="5">
        <v>0.84399999999999997</v>
      </c>
      <c r="Q14" s="5">
        <v>0.88100000000000001</v>
      </c>
      <c r="R14" s="5">
        <v>0.90700000000000003</v>
      </c>
      <c r="S14" s="5">
        <v>0.93500000000000005</v>
      </c>
      <c r="T14" s="5">
        <v>0.96</v>
      </c>
      <c r="U14" s="5">
        <v>0.97399999999999998</v>
      </c>
      <c r="V14" s="5">
        <v>0.998</v>
      </c>
      <c r="W14" s="5">
        <v>0.99</v>
      </c>
      <c r="X14" s="5">
        <v>1.0049999999999999</v>
      </c>
      <c r="Y14" s="5">
        <v>0.99199999999999999</v>
      </c>
      <c r="Z14" s="5">
        <v>1</v>
      </c>
      <c r="AA14" s="5">
        <v>1.004</v>
      </c>
      <c r="AB14" s="5">
        <v>1.0109999999999999</v>
      </c>
      <c r="AC14" s="5">
        <v>1.0580000000000001</v>
      </c>
      <c r="AD14" s="5">
        <v>29.149000000000001</v>
      </c>
    </row>
    <row r="15" spans="1:30" ht="16.5" customHeight="1" x14ac:dyDescent="0.3">
      <c r="A15" s="12"/>
      <c r="B15" s="12"/>
      <c r="C15" s="12"/>
      <c r="D15" s="1">
        <v>12</v>
      </c>
      <c r="E15" s="5">
        <v>0.23899999999999999</v>
      </c>
      <c r="F15" s="5">
        <v>0.28699999999999998</v>
      </c>
      <c r="G15" s="5">
        <v>0.35499999999999998</v>
      </c>
      <c r="H15" s="5">
        <v>0.42699999999999999</v>
      </c>
      <c r="I15" s="5">
        <v>0.48799999999999999</v>
      </c>
      <c r="J15" s="5">
        <v>0.53200000000000003</v>
      </c>
      <c r="K15" s="5">
        <v>0.57899999999999996</v>
      </c>
      <c r="L15" s="5">
        <v>0.63800000000000001</v>
      </c>
      <c r="M15" s="5">
        <v>0.69899999999999995</v>
      </c>
      <c r="N15" s="5">
        <v>0.746</v>
      </c>
      <c r="O15" s="5">
        <v>0.77700000000000002</v>
      </c>
      <c r="P15" s="5">
        <v>0.83199999999999996</v>
      </c>
      <c r="Q15" s="5">
        <v>0.88200000000000001</v>
      </c>
      <c r="R15" s="5">
        <v>0.91600000000000004</v>
      </c>
      <c r="S15" s="5">
        <v>0.94099999999999995</v>
      </c>
      <c r="T15" s="5">
        <v>0.96199999999999997</v>
      </c>
      <c r="U15" s="5">
        <v>0.98</v>
      </c>
      <c r="V15" s="5">
        <v>0.995</v>
      </c>
      <c r="W15" s="5">
        <v>0.997</v>
      </c>
      <c r="X15" s="5">
        <v>0.99</v>
      </c>
      <c r="Y15" s="5">
        <v>0.995</v>
      </c>
      <c r="Z15" s="5">
        <v>1.008</v>
      </c>
      <c r="AA15" s="5">
        <v>1.0209999999999999</v>
      </c>
      <c r="AB15" s="5">
        <v>1.014</v>
      </c>
      <c r="AC15" s="5">
        <v>1.083</v>
      </c>
      <c r="AD15" s="5">
        <v>29.29</v>
      </c>
    </row>
    <row r="16" spans="1:30" ht="16.5" customHeight="1" x14ac:dyDescent="0.3">
      <c r="A16" s="12"/>
      <c r="B16" s="12"/>
      <c r="C16" s="12"/>
      <c r="D16" s="1">
        <v>13</v>
      </c>
      <c r="E16" s="5">
        <v>0.21099999999999999</v>
      </c>
      <c r="F16" s="5">
        <v>0.27700000000000002</v>
      </c>
      <c r="G16" s="5">
        <v>0.34799999999999998</v>
      </c>
      <c r="H16" s="5">
        <v>0.41499999999999998</v>
      </c>
      <c r="I16" s="5">
        <v>0.47099999999999997</v>
      </c>
      <c r="J16" s="5">
        <v>0.52900000000000003</v>
      </c>
      <c r="K16" s="5">
        <v>0.59199999999999997</v>
      </c>
      <c r="L16" s="5">
        <v>0.64700000000000002</v>
      </c>
      <c r="M16" s="5">
        <v>0.69799999999999995</v>
      </c>
      <c r="N16" s="5">
        <v>0.73599999999999999</v>
      </c>
      <c r="O16" s="5">
        <v>0.77900000000000003</v>
      </c>
      <c r="P16" s="5">
        <v>0.81</v>
      </c>
      <c r="Q16" s="5">
        <v>0.86599999999999999</v>
      </c>
      <c r="R16" s="5">
        <v>0.91</v>
      </c>
      <c r="S16" s="5">
        <v>0.94199999999999995</v>
      </c>
      <c r="T16" s="5">
        <v>0.94799999999999995</v>
      </c>
      <c r="U16" s="5">
        <v>0.97499999999999998</v>
      </c>
      <c r="V16" s="5">
        <v>0.98199999999999998</v>
      </c>
      <c r="W16" s="5">
        <v>0.98299999999999998</v>
      </c>
      <c r="X16" s="5">
        <v>1.0289999999999999</v>
      </c>
      <c r="Y16" s="5">
        <v>1.02</v>
      </c>
      <c r="Z16" s="5">
        <v>1.0640000000000001</v>
      </c>
      <c r="AA16" s="5">
        <v>1.0409999999999999</v>
      </c>
      <c r="AB16" s="5">
        <v>1.0549999999999999</v>
      </c>
      <c r="AC16" s="5">
        <v>1.0620000000000001</v>
      </c>
      <c r="AD16" s="5">
        <v>29.286999999999999</v>
      </c>
    </row>
    <row r="17" spans="1:30" ht="16.5" customHeight="1" x14ac:dyDescent="0.3">
      <c r="A17" s="12"/>
      <c r="B17" s="12"/>
      <c r="C17" s="12"/>
      <c r="D17" s="1">
        <v>14</v>
      </c>
      <c r="E17" s="5">
        <v>0.23100000000000001</v>
      </c>
      <c r="F17" s="5">
        <v>0.28999999999999998</v>
      </c>
      <c r="G17" s="5">
        <v>0.35599999999999998</v>
      </c>
      <c r="H17" s="5">
        <v>0.42499999999999999</v>
      </c>
      <c r="I17" s="5">
        <v>0.48799999999999999</v>
      </c>
      <c r="J17" s="5">
        <v>0.55200000000000005</v>
      </c>
      <c r="K17" s="5">
        <v>0.60199999999999998</v>
      </c>
      <c r="L17" s="5">
        <v>0.64300000000000002</v>
      </c>
      <c r="M17" s="5">
        <v>0.68899999999999995</v>
      </c>
      <c r="N17" s="5">
        <v>0.73299999999999998</v>
      </c>
      <c r="O17" s="5">
        <v>0.77700000000000002</v>
      </c>
      <c r="P17" s="5">
        <v>0.83899999999999997</v>
      </c>
      <c r="Q17" s="5">
        <v>0.88600000000000001</v>
      </c>
      <c r="R17" s="5">
        <v>0.91700000000000004</v>
      </c>
      <c r="S17" s="5">
        <v>0.94099999999999995</v>
      </c>
      <c r="T17" s="5">
        <v>0.95799999999999996</v>
      </c>
      <c r="U17" s="5">
        <v>0.97699999999999998</v>
      </c>
      <c r="V17" s="5">
        <v>0.996</v>
      </c>
      <c r="W17" s="5">
        <v>1.0269999999999999</v>
      </c>
      <c r="X17" s="5">
        <v>0.998</v>
      </c>
      <c r="Y17" s="5">
        <v>1.0089999999999999</v>
      </c>
      <c r="Z17" s="5">
        <v>1.038</v>
      </c>
      <c r="AA17" s="5">
        <v>1.0569999999999999</v>
      </c>
      <c r="AB17" s="5">
        <v>1.0580000000000001</v>
      </c>
      <c r="AC17" s="5">
        <v>1.081</v>
      </c>
      <c r="AD17" s="5">
        <v>29.434000000000001</v>
      </c>
    </row>
    <row r="18" spans="1:30" ht="16.5" customHeight="1" x14ac:dyDescent="0.3">
      <c r="A18" s="12"/>
      <c r="B18" s="12"/>
      <c r="C18" s="12"/>
      <c r="D18" s="1">
        <v>15</v>
      </c>
      <c r="E18" s="5">
        <v>0.222</v>
      </c>
      <c r="F18" s="5">
        <v>0.28899999999999998</v>
      </c>
      <c r="G18" s="5">
        <v>0.36</v>
      </c>
      <c r="H18" s="5">
        <v>0.42799999999999999</v>
      </c>
      <c r="I18" s="5">
        <v>0.48699999999999999</v>
      </c>
      <c r="J18" s="5">
        <v>0.54800000000000004</v>
      </c>
      <c r="K18" s="5">
        <v>0.60199999999999998</v>
      </c>
      <c r="L18" s="5">
        <v>0.65400000000000003</v>
      </c>
      <c r="M18" s="5">
        <v>0.69699999999999995</v>
      </c>
      <c r="N18" s="5">
        <v>0.74299999999999999</v>
      </c>
      <c r="O18" s="5">
        <v>0.78900000000000003</v>
      </c>
      <c r="P18" s="5">
        <v>0.83799999999999997</v>
      </c>
      <c r="Q18" s="5">
        <v>0.877</v>
      </c>
      <c r="R18" s="5">
        <v>0.92600000000000005</v>
      </c>
      <c r="S18" s="5">
        <v>0.96699999999999997</v>
      </c>
      <c r="T18" s="5">
        <v>0.96399999999999997</v>
      </c>
      <c r="U18" s="5">
        <v>1.002</v>
      </c>
      <c r="V18" s="5">
        <v>0.98</v>
      </c>
      <c r="W18" s="5">
        <v>1.0209999999999999</v>
      </c>
      <c r="X18" s="5">
        <v>1.018</v>
      </c>
      <c r="Y18" s="5">
        <v>1.0349999999999999</v>
      </c>
      <c r="Z18" s="5">
        <v>1.0369999999999999</v>
      </c>
      <c r="AA18" s="5">
        <v>1.048</v>
      </c>
      <c r="AB18" s="5">
        <v>1.054</v>
      </c>
      <c r="AC18" s="5">
        <v>1.0589999999999999</v>
      </c>
      <c r="AD18" s="5">
        <v>29.14</v>
      </c>
    </row>
    <row r="19" spans="1:30" ht="16.5" customHeight="1" x14ac:dyDescent="0.3">
      <c r="A19" s="12"/>
      <c r="B19" s="12"/>
      <c r="C19" s="12"/>
      <c r="D19" s="1">
        <v>16</v>
      </c>
      <c r="E19" s="5">
        <v>0.22</v>
      </c>
      <c r="F19" s="5">
        <v>0.28499999999999998</v>
      </c>
      <c r="G19" s="5">
        <v>0.35599999999999998</v>
      </c>
      <c r="H19" s="5">
        <v>0.42699999999999999</v>
      </c>
      <c r="I19" s="5">
        <v>0.47799999999999998</v>
      </c>
      <c r="J19" s="5">
        <v>0.53200000000000003</v>
      </c>
      <c r="K19" s="5">
        <v>0.59299999999999997</v>
      </c>
      <c r="L19" s="5">
        <v>0.64300000000000002</v>
      </c>
      <c r="M19" s="5">
        <v>0.69599999999999995</v>
      </c>
      <c r="N19" s="5">
        <v>0.73699999999999999</v>
      </c>
      <c r="O19" s="5">
        <v>0.78700000000000003</v>
      </c>
      <c r="P19" s="5">
        <v>0.83599999999999997</v>
      </c>
      <c r="Q19" s="5">
        <v>0.89700000000000002</v>
      </c>
      <c r="R19" s="5">
        <v>0.93300000000000005</v>
      </c>
      <c r="S19" s="5">
        <v>0.96599999999999997</v>
      </c>
      <c r="T19" s="5">
        <v>0.98399999999999999</v>
      </c>
      <c r="U19" s="5">
        <v>1.0009999999999999</v>
      </c>
      <c r="V19" s="5">
        <v>1.018</v>
      </c>
      <c r="W19" s="5">
        <v>1.004</v>
      </c>
      <c r="X19" s="5">
        <v>1.022</v>
      </c>
      <c r="Y19" s="5">
        <v>1.0489999999999999</v>
      </c>
      <c r="Z19" s="5">
        <v>1.052</v>
      </c>
      <c r="AA19" s="5">
        <v>1.085</v>
      </c>
      <c r="AB19" s="5">
        <v>1.0920000000000001</v>
      </c>
      <c r="AC19" s="5">
        <v>1.1240000000000001</v>
      </c>
      <c r="AD19" s="5">
        <v>29.216999999999999</v>
      </c>
    </row>
    <row r="20" spans="1:30" ht="16.5" customHeight="1" x14ac:dyDescent="0.3">
      <c r="A20" s="12"/>
      <c r="B20" s="12"/>
      <c r="C20" s="12"/>
      <c r="D20" s="1">
        <v>17</v>
      </c>
      <c r="E20" s="5">
        <v>0.224</v>
      </c>
      <c r="F20" s="5">
        <v>0.28199999999999997</v>
      </c>
      <c r="G20" s="5">
        <v>0.35399999999999998</v>
      </c>
      <c r="H20" s="5">
        <v>0.41499999999999998</v>
      </c>
      <c r="I20" s="5">
        <v>0.47099999999999997</v>
      </c>
      <c r="J20" s="5">
        <v>0.53400000000000003</v>
      </c>
      <c r="K20" s="5">
        <v>0.59899999999999998</v>
      </c>
      <c r="L20" s="5">
        <v>0.63700000000000001</v>
      </c>
      <c r="M20" s="5">
        <v>0.69199999999999995</v>
      </c>
      <c r="N20" s="5">
        <v>0.73799999999999999</v>
      </c>
      <c r="O20" s="5">
        <v>0.79700000000000004</v>
      </c>
      <c r="P20" s="5">
        <v>0.85099999999999998</v>
      </c>
      <c r="Q20" s="5">
        <v>0.88500000000000001</v>
      </c>
      <c r="R20" s="5">
        <v>0.92600000000000005</v>
      </c>
      <c r="S20" s="5">
        <v>0.94799999999999995</v>
      </c>
      <c r="T20" s="5">
        <v>0.98299999999999998</v>
      </c>
      <c r="U20" s="5">
        <v>1.022</v>
      </c>
      <c r="V20" s="5">
        <v>1.0449999999999999</v>
      </c>
      <c r="W20" s="5">
        <v>1.0469999999999999</v>
      </c>
      <c r="X20" s="5">
        <v>1.048</v>
      </c>
      <c r="Y20" s="5">
        <v>1.0389999999999999</v>
      </c>
      <c r="Z20" s="5">
        <v>1.0569999999999999</v>
      </c>
      <c r="AA20" s="5">
        <v>1.0740000000000001</v>
      </c>
      <c r="AB20" s="5">
        <v>1.077</v>
      </c>
      <c r="AC20" s="5">
        <v>1.097</v>
      </c>
      <c r="AD20" s="5">
        <v>29.363</v>
      </c>
    </row>
    <row r="21" spans="1:30" ht="16.5" customHeight="1" x14ac:dyDescent="0.3">
      <c r="A21" s="12"/>
      <c r="B21" s="12"/>
      <c r="C21" s="12"/>
      <c r="D21" s="1">
        <v>18</v>
      </c>
      <c r="E21" s="5">
        <v>0.23100000000000001</v>
      </c>
      <c r="F21" s="5">
        <v>0.28999999999999998</v>
      </c>
      <c r="G21" s="5">
        <v>0.37</v>
      </c>
      <c r="H21" s="5">
        <v>0.437</v>
      </c>
      <c r="I21" s="5">
        <v>0.5</v>
      </c>
      <c r="J21" s="5">
        <v>0.54900000000000004</v>
      </c>
      <c r="K21" s="5">
        <v>0.59699999999999998</v>
      </c>
      <c r="L21" s="5">
        <v>0.64700000000000002</v>
      </c>
      <c r="M21" s="5">
        <v>0.69599999999999995</v>
      </c>
      <c r="N21" s="5">
        <v>0.74</v>
      </c>
      <c r="O21" s="5">
        <v>0.78100000000000003</v>
      </c>
      <c r="P21" s="5">
        <v>0.82899999999999996</v>
      </c>
      <c r="Q21" s="5">
        <v>0.88200000000000001</v>
      </c>
      <c r="R21" s="5">
        <v>0.92100000000000004</v>
      </c>
      <c r="S21" s="5">
        <v>0.95599999999999996</v>
      </c>
      <c r="T21" s="5">
        <v>0.97599999999999998</v>
      </c>
      <c r="U21" s="5">
        <v>1.0109999999999999</v>
      </c>
      <c r="V21" s="5">
        <v>1.014</v>
      </c>
      <c r="W21" s="5">
        <v>1.0349999999999999</v>
      </c>
      <c r="X21" s="5">
        <v>1.0760000000000001</v>
      </c>
      <c r="Y21" s="5">
        <v>1.095</v>
      </c>
      <c r="Z21" s="5">
        <v>1.095</v>
      </c>
      <c r="AA21" s="5">
        <v>1.105</v>
      </c>
      <c r="AB21" s="5">
        <v>1.117</v>
      </c>
      <c r="AC21" s="5">
        <v>1.1279999999999999</v>
      </c>
      <c r="AD21" s="5">
        <v>29.382000000000001</v>
      </c>
    </row>
    <row r="22" spans="1:30" ht="16.5" customHeight="1" x14ac:dyDescent="0.3">
      <c r="A22" s="12"/>
      <c r="B22" s="12"/>
      <c r="C22" s="12"/>
      <c r="D22" s="1">
        <v>19</v>
      </c>
      <c r="E22" s="5">
        <v>0.223</v>
      </c>
      <c r="F22" s="5">
        <v>0.28799999999999998</v>
      </c>
      <c r="G22" s="5">
        <v>0.36599999999999999</v>
      </c>
      <c r="H22" s="5">
        <v>0.432</v>
      </c>
      <c r="I22" s="5">
        <v>0.49</v>
      </c>
      <c r="J22" s="5">
        <v>0.53700000000000003</v>
      </c>
      <c r="K22" s="5">
        <v>0.59299999999999997</v>
      </c>
      <c r="L22" s="5">
        <v>0.64800000000000002</v>
      </c>
      <c r="M22" s="5">
        <v>0.7</v>
      </c>
      <c r="N22" s="5">
        <v>0.74399999999999999</v>
      </c>
      <c r="O22" s="5">
        <v>0.78600000000000003</v>
      </c>
      <c r="P22" s="5">
        <v>0.84299999999999997</v>
      </c>
      <c r="Q22" s="5">
        <v>0.88800000000000001</v>
      </c>
      <c r="R22" s="5">
        <v>0.93500000000000005</v>
      </c>
      <c r="S22" s="5">
        <v>0.95899999999999996</v>
      </c>
      <c r="T22" s="5">
        <v>0.98799999999999999</v>
      </c>
      <c r="U22" s="5">
        <v>0.99399999999999999</v>
      </c>
      <c r="V22" s="5">
        <v>1.0089999999999999</v>
      </c>
      <c r="W22" s="5">
        <v>1.0029999999999999</v>
      </c>
      <c r="X22" s="5">
        <v>1.042</v>
      </c>
      <c r="Y22" s="5">
        <v>1.0649999999999999</v>
      </c>
      <c r="Z22" s="5">
        <v>1.0820000000000001</v>
      </c>
      <c r="AA22" s="5">
        <v>1.099</v>
      </c>
      <c r="AB22" s="5">
        <v>1.121</v>
      </c>
      <c r="AC22" s="5">
        <v>1.101</v>
      </c>
      <c r="AD22" s="5">
        <v>29.34</v>
      </c>
    </row>
    <row r="23" spans="1:30" ht="16.5" customHeight="1" x14ac:dyDescent="0.3">
      <c r="A23" s="12"/>
      <c r="B23" s="12"/>
      <c r="C23" s="12"/>
      <c r="D23" s="1">
        <v>20</v>
      </c>
      <c r="E23" s="5">
        <v>0.20300000000000001</v>
      </c>
      <c r="F23" s="5">
        <v>0.27900000000000003</v>
      </c>
      <c r="G23" s="5">
        <v>0.34100000000000003</v>
      </c>
      <c r="H23" s="5">
        <v>0.41399999999999998</v>
      </c>
      <c r="I23" s="5">
        <v>0.47499999999999998</v>
      </c>
      <c r="J23" s="5">
        <v>0.53</v>
      </c>
      <c r="K23" s="5">
        <v>0.58699999999999997</v>
      </c>
      <c r="L23" s="5">
        <v>0.64100000000000001</v>
      </c>
      <c r="M23" s="5">
        <v>0.69199999999999995</v>
      </c>
      <c r="N23" s="5">
        <v>0.72199999999999998</v>
      </c>
      <c r="O23" s="5">
        <v>0.77200000000000002</v>
      </c>
      <c r="P23" s="5">
        <v>0.83299999999999996</v>
      </c>
      <c r="Q23" s="5">
        <v>0.89200000000000002</v>
      </c>
      <c r="R23" s="5">
        <v>0.93200000000000005</v>
      </c>
      <c r="S23" s="5">
        <v>0.95899999999999996</v>
      </c>
      <c r="T23" s="5">
        <v>0.96099999999999997</v>
      </c>
      <c r="U23" s="5">
        <v>0.98299999999999998</v>
      </c>
      <c r="V23" s="5">
        <v>0.97499999999999998</v>
      </c>
      <c r="W23" s="5">
        <v>1.0229999999999999</v>
      </c>
      <c r="X23" s="5">
        <v>1.0389999999999999</v>
      </c>
      <c r="Y23" s="5">
        <v>1.052</v>
      </c>
      <c r="Z23" s="5">
        <v>1.0580000000000001</v>
      </c>
      <c r="AA23" s="5">
        <v>1.0660000000000001</v>
      </c>
      <c r="AB23" s="5">
        <v>1.095</v>
      </c>
      <c r="AC23" s="5">
        <v>1.095</v>
      </c>
      <c r="AD23" s="5">
        <v>29.271000000000001</v>
      </c>
    </row>
    <row r="24" spans="1:30" ht="16.5" customHeight="1" x14ac:dyDescent="0.3">
      <c r="A24" s="12"/>
      <c r="B24" s="12"/>
      <c r="C24" s="12"/>
      <c r="D24" s="1">
        <v>21</v>
      </c>
      <c r="E24" s="5">
        <v>0.215</v>
      </c>
      <c r="F24" s="5">
        <v>0.28999999999999998</v>
      </c>
      <c r="G24" s="5">
        <v>0.35399999999999998</v>
      </c>
      <c r="H24" s="5">
        <v>0.42499999999999999</v>
      </c>
      <c r="I24" s="5">
        <v>0.47699999999999998</v>
      </c>
      <c r="J24" s="5">
        <v>0.53</v>
      </c>
      <c r="K24" s="5">
        <v>0.59899999999999998</v>
      </c>
      <c r="L24" s="5">
        <v>0.64900000000000002</v>
      </c>
      <c r="M24" s="5">
        <v>0.70299999999999996</v>
      </c>
      <c r="N24" s="5">
        <v>0.753</v>
      </c>
      <c r="O24" s="5">
        <v>0.79900000000000004</v>
      </c>
      <c r="P24" s="5">
        <v>0.85199999999999998</v>
      </c>
      <c r="Q24" s="5">
        <v>0.9</v>
      </c>
      <c r="R24" s="5">
        <v>0.93799999999999994</v>
      </c>
      <c r="S24" s="5">
        <v>0.97</v>
      </c>
      <c r="T24" s="5">
        <v>0.99</v>
      </c>
      <c r="U24" s="5">
        <v>0.99199999999999999</v>
      </c>
      <c r="V24" s="5">
        <v>1.026</v>
      </c>
      <c r="W24" s="5">
        <v>1.0489999999999999</v>
      </c>
      <c r="X24" s="5">
        <v>1.0349999999999999</v>
      </c>
      <c r="Y24" s="5">
        <v>1.0329999999999999</v>
      </c>
      <c r="Z24" s="5">
        <v>1.034</v>
      </c>
      <c r="AA24" s="5">
        <v>1.0469999999999999</v>
      </c>
      <c r="AB24" s="5">
        <v>1.0880000000000001</v>
      </c>
      <c r="AC24" s="5">
        <v>1.099</v>
      </c>
      <c r="AD24" s="5">
        <v>29.265000000000001</v>
      </c>
    </row>
    <row r="25" spans="1:30" ht="16.5" customHeight="1" x14ac:dyDescent="0.3">
      <c r="A25" s="12"/>
      <c r="B25" s="12"/>
      <c r="C25" s="12"/>
      <c r="D25" s="1">
        <v>22</v>
      </c>
      <c r="E25" s="5">
        <v>0.20599999999999999</v>
      </c>
      <c r="F25" s="5">
        <v>0.26600000000000001</v>
      </c>
      <c r="G25" s="5">
        <v>0.33600000000000002</v>
      </c>
      <c r="H25" s="5">
        <v>0.40400000000000003</v>
      </c>
      <c r="I25" s="5">
        <v>0.46</v>
      </c>
      <c r="J25" s="5">
        <v>0.52200000000000002</v>
      </c>
      <c r="K25" s="5">
        <v>0.60199999999999998</v>
      </c>
      <c r="L25" s="5">
        <v>0.68400000000000005</v>
      </c>
      <c r="M25" s="5">
        <v>0.753</v>
      </c>
      <c r="N25" s="5">
        <v>0.751</v>
      </c>
      <c r="O25" s="5">
        <v>0.77500000000000002</v>
      </c>
      <c r="P25" s="5">
        <v>0.80900000000000005</v>
      </c>
      <c r="Q25" s="5">
        <v>0.86199999999999999</v>
      </c>
      <c r="R25" s="5">
        <v>0.9</v>
      </c>
      <c r="S25" s="5">
        <v>0.93799999999999994</v>
      </c>
      <c r="T25" s="5">
        <v>0.97199999999999998</v>
      </c>
      <c r="U25" s="5">
        <v>0.99099999999999999</v>
      </c>
      <c r="V25" s="5">
        <v>1.0169999999999999</v>
      </c>
      <c r="W25" s="5">
        <v>1.0069999999999999</v>
      </c>
      <c r="X25" s="5">
        <v>1.0049999999999999</v>
      </c>
      <c r="Y25" s="5">
        <v>1.0149999999999999</v>
      </c>
      <c r="Z25" s="5">
        <v>1.075</v>
      </c>
      <c r="AA25" s="5">
        <v>1.0580000000000001</v>
      </c>
      <c r="AB25" s="5">
        <v>1.125</v>
      </c>
      <c r="AC25" s="5">
        <v>1.1499999999999999</v>
      </c>
      <c r="AD25" s="5">
        <v>29.466000000000001</v>
      </c>
    </row>
    <row r="26" spans="1:30" ht="16.5" customHeight="1" x14ac:dyDescent="0.3">
      <c r="A26" s="12"/>
      <c r="B26" s="12"/>
      <c r="C26" s="12"/>
      <c r="D26" s="1">
        <v>23</v>
      </c>
      <c r="E26" s="5">
        <v>0.219</v>
      </c>
      <c r="F26" s="5">
        <v>0.27100000000000002</v>
      </c>
      <c r="G26" s="5">
        <v>0.33800000000000002</v>
      </c>
      <c r="H26" s="5">
        <v>0.40600000000000003</v>
      </c>
      <c r="I26" s="5">
        <v>0.46100000000000002</v>
      </c>
      <c r="J26" s="5">
        <v>0.51400000000000001</v>
      </c>
      <c r="K26" s="5">
        <v>0.58099999999999996</v>
      </c>
      <c r="L26" s="5">
        <v>0.64600000000000002</v>
      </c>
      <c r="M26" s="5">
        <v>0.70599999999999996</v>
      </c>
      <c r="N26" s="5">
        <v>0.73799999999999999</v>
      </c>
      <c r="O26" s="5">
        <v>0.80300000000000005</v>
      </c>
      <c r="P26" s="5">
        <v>0.82799999999999996</v>
      </c>
      <c r="Q26" s="5">
        <v>0.872</v>
      </c>
      <c r="R26" s="5">
        <v>0.91100000000000003</v>
      </c>
      <c r="S26" s="5">
        <v>0.93400000000000005</v>
      </c>
      <c r="T26" s="5">
        <v>0.94699999999999995</v>
      </c>
      <c r="U26" s="5">
        <v>0.97599999999999998</v>
      </c>
      <c r="V26" s="5">
        <v>0.98799999999999999</v>
      </c>
      <c r="W26" s="5">
        <v>0.98599999999999999</v>
      </c>
      <c r="X26" s="5">
        <v>0.98899999999999999</v>
      </c>
      <c r="Y26" s="5">
        <v>0.97299999999999998</v>
      </c>
      <c r="Z26" s="5">
        <v>1.008</v>
      </c>
      <c r="AA26" s="5">
        <v>1.02</v>
      </c>
      <c r="AB26" s="5">
        <v>1.0429999999999999</v>
      </c>
      <c r="AC26" s="5">
        <v>1.0309999999999999</v>
      </c>
      <c r="AD26" s="5">
        <v>29.2</v>
      </c>
    </row>
    <row r="27" spans="1:30" ht="16.5" customHeight="1" x14ac:dyDescent="0.3">
      <c r="A27" s="12"/>
      <c r="B27" s="12"/>
      <c r="C27" s="12"/>
      <c r="D27" s="1">
        <v>24</v>
      </c>
      <c r="E27" s="5">
        <v>0.24</v>
      </c>
      <c r="F27" s="5">
        <v>0.28299999999999997</v>
      </c>
      <c r="G27" s="5">
        <v>0.36</v>
      </c>
      <c r="H27" s="5">
        <v>0.42799999999999999</v>
      </c>
      <c r="I27" s="5">
        <v>0.48499999999999999</v>
      </c>
      <c r="J27" s="5">
        <v>0.54500000000000004</v>
      </c>
      <c r="K27" s="5">
        <v>0.59599999999999997</v>
      </c>
      <c r="L27" s="5">
        <v>0.65</v>
      </c>
      <c r="M27" s="5">
        <v>0.69599999999999995</v>
      </c>
      <c r="N27" s="5">
        <v>0.747</v>
      </c>
      <c r="O27" s="5">
        <v>0.76900000000000002</v>
      </c>
      <c r="P27" s="5">
        <v>0.82299999999999995</v>
      </c>
      <c r="Q27" s="5">
        <v>0.88</v>
      </c>
      <c r="R27" s="5">
        <v>0.91600000000000004</v>
      </c>
      <c r="S27" s="5">
        <v>0.94899999999999995</v>
      </c>
      <c r="T27" s="5">
        <v>0.96599999999999997</v>
      </c>
      <c r="U27" s="5">
        <v>0.997</v>
      </c>
      <c r="V27" s="5">
        <v>1.0269999999999999</v>
      </c>
      <c r="W27" s="5">
        <v>1.03</v>
      </c>
      <c r="X27" s="5">
        <v>1.0509999999999999</v>
      </c>
      <c r="Y27" s="5">
        <v>1.036</v>
      </c>
      <c r="Z27" s="5">
        <v>1.0069999999999999</v>
      </c>
      <c r="AA27" s="5">
        <v>1.0429999999999999</v>
      </c>
      <c r="AB27" s="5">
        <v>1.095</v>
      </c>
      <c r="AC27" s="5">
        <v>1.095</v>
      </c>
      <c r="AD27" s="5">
        <v>29.385000000000002</v>
      </c>
    </row>
    <row r="28" spans="1:30" ht="16.5" customHeight="1" x14ac:dyDescent="0.3">
      <c r="A28" s="12"/>
      <c r="B28" s="12"/>
      <c r="C28" s="12"/>
      <c r="D28" s="1">
        <v>25</v>
      </c>
      <c r="E28" s="5">
        <v>0.22700000000000001</v>
      </c>
      <c r="F28" s="5">
        <v>0.29599999999999999</v>
      </c>
      <c r="G28" s="5">
        <v>0.35899999999999999</v>
      </c>
      <c r="H28" s="5">
        <v>0.433</v>
      </c>
      <c r="I28" s="5">
        <v>0.48299999999999998</v>
      </c>
      <c r="J28" s="5">
        <v>0.55200000000000005</v>
      </c>
      <c r="K28" s="5">
        <v>0.61299999999999999</v>
      </c>
      <c r="L28" s="5">
        <v>0.64600000000000002</v>
      </c>
      <c r="M28" s="5">
        <v>0.69499999999999995</v>
      </c>
      <c r="N28" s="5">
        <v>0.74399999999999999</v>
      </c>
      <c r="O28" s="5">
        <v>0.80300000000000005</v>
      </c>
      <c r="P28" s="5">
        <v>0.85899999999999999</v>
      </c>
      <c r="Q28" s="5">
        <v>0.92100000000000004</v>
      </c>
      <c r="R28" s="5">
        <v>0.94399999999999995</v>
      </c>
      <c r="S28" s="5">
        <v>0.97499999999999998</v>
      </c>
      <c r="T28" s="5">
        <v>0.98899999999999999</v>
      </c>
      <c r="U28" s="5">
        <v>1.012</v>
      </c>
      <c r="V28" s="5">
        <v>1.032</v>
      </c>
      <c r="W28" s="5">
        <v>1.036</v>
      </c>
      <c r="X28" s="5">
        <v>1.0620000000000001</v>
      </c>
      <c r="Y28" s="5">
        <v>1.05</v>
      </c>
      <c r="Z28" s="5">
        <v>1.0249999999999999</v>
      </c>
      <c r="AA28" s="5">
        <v>1.0720000000000001</v>
      </c>
      <c r="AB28" s="5">
        <v>1.103</v>
      </c>
      <c r="AC28" s="5">
        <v>1.129</v>
      </c>
      <c r="AD28" s="5">
        <v>29.335000000000001</v>
      </c>
    </row>
    <row r="29" spans="1:30" ht="16.5" customHeight="1" x14ac:dyDescent="0.3">
      <c r="A29" s="12"/>
      <c r="B29" s="12"/>
      <c r="C29" s="12"/>
      <c r="D29" s="1">
        <v>26</v>
      </c>
      <c r="E29" s="5">
        <v>0.23400000000000001</v>
      </c>
      <c r="F29" s="5">
        <v>0.27700000000000002</v>
      </c>
      <c r="G29" s="5">
        <v>0.35899999999999999</v>
      </c>
      <c r="H29" s="5">
        <v>0.41599999999999998</v>
      </c>
      <c r="I29" s="5">
        <v>0.47099999999999997</v>
      </c>
      <c r="J29" s="5">
        <v>0.52700000000000002</v>
      </c>
      <c r="K29" s="5">
        <v>0.58199999999999996</v>
      </c>
      <c r="L29" s="5">
        <v>0.63400000000000001</v>
      </c>
      <c r="M29" s="5">
        <v>0.68100000000000005</v>
      </c>
      <c r="N29" s="5">
        <v>0.72299999999999998</v>
      </c>
      <c r="O29" s="5">
        <v>0.75800000000000001</v>
      </c>
      <c r="P29" s="5">
        <v>0.81599999999999995</v>
      </c>
      <c r="Q29" s="5">
        <v>0.86899999999999999</v>
      </c>
      <c r="R29" s="5">
        <v>0.90600000000000003</v>
      </c>
      <c r="S29" s="5">
        <v>0.92700000000000005</v>
      </c>
      <c r="T29" s="5">
        <v>0.95099999999999996</v>
      </c>
      <c r="U29" s="5">
        <v>1.002</v>
      </c>
      <c r="V29" s="5">
        <v>0.99399999999999999</v>
      </c>
      <c r="W29" s="5">
        <v>0.98399999999999999</v>
      </c>
      <c r="X29" s="5">
        <v>0.97299999999999998</v>
      </c>
      <c r="Y29" s="5">
        <v>0.98399999999999999</v>
      </c>
      <c r="Z29" s="5">
        <v>0.98199999999999998</v>
      </c>
      <c r="AA29" s="5">
        <v>0.998</v>
      </c>
      <c r="AB29" s="5">
        <v>1.038</v>
      </c>
      <c r="AC29" s="5">
        <v>1.0049999999999999</v>
      </c>
      <c r="AD29" s="5">
        <v>29.545999999999999</v>
      </c>
    </row>
    <row r="30" spans="1:30" x14ac:dyDescent="0.3">
      <c r="A30" s="12"/>
      <c r="B30" s="12"/>
      <c r="C30" s="12"/>
      <c r="D30" s="1">
        <v>27</v>
      </c>
      <c r="E30" s="5">
        <v>0.224</v>
      </c>
      <c r="F30" s="5">
        <v>0.28299999999999997</v>
      </c>
      <c r="G30" s="5">
        <v>0.36199999999999999</v>
      </c>
      <c r="H30" s="5">
        <v>0.437</v>
      </c>
      <c r="I30" s="5">
        <v>0.495</v>
      </c>
      <c r="J30" s="5">
        <v>0.55700000000000005</v>
      </c>
      <c r="K30" s="5">
        <v>0.61099999999999999</v>
      </c>
      <c r="L30" s="5">
        <v>0.65500000000000003</v>
      </c>
      <c r="M30" s="5">
        <v>0.69299999999999995</v>
      </c>
      <c r="N30" s="5">
        <v>0.748</v>
      </c>
      <c r="O30" s="5">
        <v>0.78400000000000003</v>
      </c>
      <c r="P30" s="5">
        <v>0.85399999999999998</v>
      </c>
      <c r="Q30" s="5">
        <v>0.90800000000000003</v>
      </c>
      <c r="R30" s="5">
        <v>0.93200000000000005</v>
      </c>
      <c r="S30" s="5">
        <v>0.96899999999999997</v>
      </c>
      <c r="T30" s="5">
        <v>1.008</v>
      </c>
      <c r="U30" s="5">
        <v>1.024</v>
      </c>
      <c r="V30" s="5">
        <v>1.036</v>
      </c>
      <c r="W30" s="5">
        <v>1.0620000000000001</v>
      </c>
      <c r="X30" s="5">
        <v>1.079</v>
      </c>
      <c r="Y30" s="5">
        <v>1.073</v>
      </c>
      <c r="Z30" s="5">
        <v>1.07</v>
      </c>
      <c r="AA30" s="5">
        <v>1.109</v>
      </c>
      <c r="AB30" s="5">
        <v>1.105</v>
      </c>
      <c r="AC30" s="5">
        <v>1.1459999999999999</v>
      </c>
      <c r="AD30" s="5">
        <v>29.366</v>
      </c>
    </row>
    <row r="31" spans="1:30" x14ac:dyDescent="0.3">
      <c r="A31" s="12"/>
      <c r="B31" s="12"/>
      <c r="C31" s="12"/>
      <c r="D31" s="1">
        <v>28</v>
      </c>
      <c r="E31" s="5">
        <v>0.22600000000000001</v>
      </c>
      <c r="F31" s="5">
        <v>0.28299999999999997</v>
      </c>
      <c r="G31" s="5">
        <v>0.35599999999999998</v>
      </c>
      <c r="H31" s="5">
        <v>0.42</v>
      </c>
      <c r="I31" s="5">
        <v>0.47199999999999998</v>
      </c>
      <c r="J31" s="5">
        <v>0.52800000000000002</v>
      </c>
      <c r="K31" s="5">
        <v>0.57699999999999996</v>
      </c>
      <c r="L31" s="5">
        <v>0.63700000000000001</v>
      </c>
      <c r="M31" s="5">
        <v>0.68600000000000005</v>
      </c>
      <c r="N31" s="5">
        <v>0.73099999999999998</v>
      </c>
      <c r="O31" s="5">
        <v>0.77700000000000002</v>
      </c>
      <c r="P31" s="5">
        <v>0.82499999999999996</v>
      </c>
      <c r="Q31" s="5">
        <v>0.86</v>
      </c>
      <c r="R31" s="5">
        <v>0.91200000000000003</v>
      </c>
      <c r="S31" s="5">
        <v>0.94199999999999995</v>
      </c>
      <c r="T31" s="5">
        <v>0.97</v>
      </c>
      <c r="U31" s="5">
        <v>0.99299999999999999</v>
      </c>
      <c r="V31" s="5">
        <v>0.98599999999999999</v>
      </c>
      <c r="W31" s="5">
        <v>1.0109999999999999</v>
      </c>
      <c r="X31" s="5">
        <v>1.0209999999999999</v>
      </c>
      <c r="Y31" s="5">
        <v>1.008</v>
      </c>
      <c r="Z31" s="5">
        <v>0.995</v>
      </c>
      <c r="AA31" s="5">
        <v>1.0269999999999999</v>
      </c>
      <c r="AB31" s="5">
        <v>1.083</v>
      </c>
      <c r="AC31" s="5">
        <v>1.089</v>
      </c>
      <c r="AD31" s="5">
        <v>29.32</v>
      </c>
    </row>
    <row r="32" spans="1:30" x14ac:dyDescent="0.3">
      <c r="A32" s="12"/>
      <c r="B32" s="12"/>
      <c r="C32" s="12"/>
      <c r="D32" s="1">
        <v>29</v>
      </c>
      <c r="E32" s="5">
        <v>0.23899999999999999</v>
      </c>
      <c r="F32" s="5">
        <v>0.29599999999999999</v>
      </c>
      <c r="G32" s="5">
        <v>0.36399999999999999</v>
      </c>
      <c r="H32" s="5">
        <v>0.436</v>
      </c>
      <c r="I32" s="5">
        <v>0.49399999999999999</v>
      </c>
      <c r="J32" s="5">
        <v>0.54700000000000004</v>
      </c>
      <c r="K32" s="5">
        <v>0.60299999999999998</v>
      </c>
      <c r="L32" s="5">
        <v>0.66500000000000004</v>
      </c>
      <c r="M32" s="5">
        <v>0.7</v>
      </c>
      <c r="N32" s="5">
        <v>0.753</v>
      </c>
      <c r="O32" s="5">
        <v>0.78400000000000003</v>
      </c>
      <c r="P32" s="5">
        <v>0.82799999999999996</v>
      </c>
      <c r="Q32" s="5">
        <v>0.89100000000000001</v>
      </c>
      <c r="R32" s="5">
        <v>0.93300000000000005</v>
      </c>
      <c r="S32" s="5">
        <v>0.96499999999999997</v>
      </c>
      <c r="T32" s="5">
        <v>0.998</v>
      </c>
      <c r="U32" s="5">
        <v>1.01</v>
      </c>
      <c r="V32" s="5">
        <v>1.0229999999999999</v>
      </c>
      <c r="W32" s="5">
        <v>1.042</v>
      </c>
      <c r="X32" s="5">
        <v>1.0429999999999999</v>
      </c>
      <c r="Y32" s="5">
        <v>1.0409999999999999</v>
      </c>
      <c r="Z32" s="5">
        <v>1.05</v>
      </c>
      <c r="AA32" s="5">
        <v>1.093</v>
      </c>
      <c r="AB32" s="5">
        <v>1.07</v>
      </c>
      <c r="AC32" s="5">
        <v>1.0920000000000001</v>
      </c>
      <c r="AD32" s="5">
        <v>29.356000000000002</v>
      </c>
    </row>
    <row r="33" spans="1:30" x14ac:dyDescent="0.3">
      <c r="A33" s="12"/>
      <c r="B33" s="12"/>
      <c r="C33" s="12"/>
      <c r="D33" s="1">
        <v>30</v>
      </c>
      <c r="E33" s="5">
        <v>0.23</v>
      </c>
      <c r="F33" s="5">
        <v>0.29199999999999998</v>
      </c>
      <c r="G33" s="5">
        <v>0.36399999999999999</v>
      </c>
      <c r="H33" s="5">
        <v>0.43</v>
      </c>
      <c r="I33" s="5">
        <v>0.49</v>
      </c>
      <c r="J33" s="5">
        <v>0.54200000000000004</v>
      </c>
      <c r="K33" s="5">
        <v>0.59799999999999998</v>
      </c>
      <c r="L33" s="5">
        <v>0.64800000000000002</v>
      </c>
      <c r="M33" s="5">
        <v>0.69799999999999995</v>
      </c>
      <c r="N33" s="5">
        <v>0.747</v>
      </c>
      <c r="O33" s="5">
        <v>0.79200000000000004</v>
      </c>
      <c r="P33" s="5">
        <v>0.83899999999999997</v>
      </c>
      <c r="Q33" s="5">
        <v>0.88100000000000001</v>
      </c>
      <c r="R33" s="5">
        <v>0.91200000000000003</v>
      </c>
      <c r="S33" s="5">
        <v>0.95299999999999996</v>
      </c>
      <c r="T33" s="5">
        <v>0.96399999999999997</v>
      </c>
      <c r="U33" s="5">
        <v>0.997</v>
      </c>
      <c r="V33" s="5">
        <v>1.012</v>
      </c>
      <c r="W33" s="5">
        <v>1.004</v>
      </c>
      <c r="X33" s="5">
        <v>1.0009999999999999</v>
      </c>
      <c r="Y33" s="5">
        <v>1.0049999999999999</v>
      </c>
      <c r="Z33" s="5">
        <v>1.0129999999999999</v>
      </c>
      <c r="AA33" s="5">
        <v>1.0629999999999999</v>
      </c>
      <c r="AB33" s="5">
        <v>1.085</v>
      </c>
      <c r="AC33" s="5">
        <v>1.073</v>
      </c>
      <c r="AD33" s="5">
        <v>29.128</v>
      </c>
    </row>
    <row r="34" spans="1:30" x14ac:dyDescent="0.3">
      <c r="A34" s="12"/>
      <c r="B34" s="12"/>
      <c r="C34" s="12"/>
      <c r="D34" s="1">
        <v>31</v>
      </c>
      <c r="E34" s="5">
        <v>0.214</v>
      </c>
      <c r="F34" s="5">
        <v>0.27900000000000003</v>
      </c>
      <c r="G34" s="5">
        <v>0.35599999999999998</v>
      </c>
      <c r="H34" s="5">
        <v>0.42399999999999999</v>
      </c>
      <c r="I34" s="5">
        <v>0.47699999999999998</v>
      </c>
      <c r="J34" s="5">
        <v>0.52900000000000003</v>
      </c>
      <c r="K34" s="5">
        <v>0.59199999999999997</v>
      </c>
      <c r="L34" s="5">
        <v>0.64900000000000002</v>
      </c>
      <c r="M34" s="5">
        <v>0.69599999999999995</v>
      </c>
      <c r="N34" s="5">
        <v>0.74099999999999999</v>
      </c>
      <c r="O34" s="5">
        <v>0.77300000000000002</v>
      </c>
      <c r="P34" s="5">
        <v>0.82399999999999995</v>
      </c>
      <c r="Q34" s="5">
        <v>0.875</v>
      </c>
      <c r="R34" s="5">
        <v>0.91400000000000003</v>
      </c>
      <c r="S34" s="5">
        <v>0.94899999999999995</v>
      </c>
      <c r="T34" s="5">
        <v>0.97299999999999998</v>
      </c>
      <c r="U34" s="5">
        <v>0.995</v>
      </c>
      <c r="V34" s="5">
        <v>1.016</v>
      </c>
      <c r="W34" s="5">
        <v>1.0109999999999999</v>
      </c>
      <c r="X34" s="5">
        <v>1.036</v>
      </c>
      <c r="Y34" s="5">
        <v>1.0449999999999999</v>
      </c>
      <c r="Z34" s="5">
        <v>1.0509999999999999</v>
      </c>
      <c r="AA34" s="5">
        <v>1.0509999999999999</v>
      </c>
      <c r="AB34" s="5">
        <v>1.0640000000000001</v>
      </c>
      <c r="AC34" s="5">
        <v>1.08</v>
      </c>
      <c r="AD34" s="5">
        <v>29.215</v>
      </c>
    </row>
    <row r="35" spans="1:30" x14ac:dyDescent="0.3">
      <c r="A35" s="12"/>
      <c r="B35" s="12"/>
      <c r="C35" s="12"/>
      <c r="D35" s="1">
        <v>32</v>
      </c>
      <c r="E35" s="5">
        <v>0.19900000000000001</v>
      </c>
      <c r="F35" s="5">
        <v>0.27800000000000002</v>
      </c>
      <c r="G35" s="5">
        <v>0.34599999999999997</v>
      </c>
      <c r="H35" s="5">
        <v>0.41099999999999998</v>
      </c>
      <c r="I35" s="5">
        <v>0.47099999999999997</v>
      </c>
      <c r="J35" s="5">
        <v>0.52900000000000003</v>
      </c>
      <c r="K35" s="5">
        <v>0.58499999999999996</v>
      </c>
      <c r="L35" s="5">
        <v>0.63600000000000001</v>
      </c>
      <c r="M35" s="5">
        <v>0.68</v>
      </c>
      <c r="N35" s="5">
        <v>0.73799999999999999</v>
      </c>
      <c r="O35" s="5">
        <v>0.77100000000000002</v>
      </c>
      <c r="P35" s="5">
        <v>0.83499999999999996</v>
      </c>
      <c r="Q35" s="5">
        <v>0.875</v>
      </c>
      <c r="R35" s="5">
        <v>0.91400000000000003</v>
      </c>
      <c r="S35" s="5">
        <v>0.94</v>
      </c>
      <c r="T35" s="5">
        <v>0.96099999999999997</v>
      </c>
      <c r="U35" s="5">
        <v>0.98699999999999999</v>
      </c>
      <c r="V35" s="5">
        <v>0.99399999999999999</v>
      </c>
      <c r="W35" s="5">
        <v>0.99299999999999999</v>
      </c>
      <c r="X35" s="5">
        <v>0.996</v>
      </c>
      <c r="Y35" s="5">
        <v>1.022</v>
      </c>
      <c r="Z35" s="5">
        <v>0.99299999999999999</v>
      </c>
      <c r="AA35" s="5">
        <v>0.98899999999999999</v>
      </c>
      <c r="AB35" s="5">
        <v>1.1000000000000001</v>
      </c>
      <c r="AC35" s="5">
        <v>1.0920000000000001</v>
      </c>
      <c r="AD35" s="5">
        <v>29.413</v>
      </c>
    </row>
    <row r="36" spans="1:30" x14ac:dyDescent="0.3">
      <c r="A36" s="12"/>
      <c r="B36" s="12"/>
      <c r="C36" s="12"/>
      <c r="D36" s="1">
        <v>33</v>
      </c>
      <c r="E36" s="5">
        <v>0.20200000000000001</v>
      </c>
      <c r="F36" s="5">
        <v>0.27500000000000002</v>
      </c>
      <c r="G36" s="5">
        <v>0.34399999999999997</v>
      </c>
      <c r="H36" s="5">
        <v>0.41499999999999998</v>
      </c>
      <c r="I36" s="5">
        <v>0.47399999999999998</v>
      </c>
      <c r="J36" s="5">
        <v>0.54</v>
      </c>
      <c r="K36" s="5">
        <v>0.60299999999999998</v>
      </c>
      <c r="L36" s="5">
        <v>0.64300000000000002</v>
      </c>
      <c r="M36" s="5">
        <v>0.69199999999999995</v>
      </c>
      <c r="N36" s="5">
        <v>0.73399999999999999</v>
      </c>
      <c r="O36" s="5">
        <v>0.78300000000000003</v>
      </c>
      <c r="P36" s="5">
        <v>0.83799999999999997</v>
      </c>
      <c r="Q36" s="5">
        <v>0.88800000000000001</v>
      </c>
      <c r="R36" s="5">
        <v>0.93200000000000005</v>
      </c>
      <c r="S36" s="5">
        <v>0.97099999999999997</v>
      </c>
      <c r="T36" s="5">
        <v>0.996</v>
      </c>
      <c r="U36" s="5">
        <v>0.99</v>
      </c>
      <c r="V36" s="5">
        <v>0.98599999999999999</v>
      </c>
      <c r="W36" s="5">
        <v>0.996</v>
      </c>
      <c r="X36" s="5">
        <v>0.99099999999999999</v>
      </c>
      <c r="Y36" s="5">
        <v>1.0269999999999999</v>
      </c>
      <c r="Z36" s="5">
        <v>1.0369999999999999</v>
      </c>
      <c r="AA36" s="5">
        <v>1.0409999999999999</v>
      </c>
      <c r="AB36" s="5">
        <v>1.1020000000000001</v>
      </c>
      <c r="AC36" s="5">
        <v>1.091</v>
      </c>
      <c r="AD36" s="5">
        <v>29.437000000000001</v>
      </c>
    </row>
    <row r="37" spans="1:30" x14ac:dyDescent="0.3">
      <c r="D37" t="s">
        <v>36</v>
      </c>
      <c r="E37" s="3">
        <f t="shared" ref="E37:AD37" si="0">AVERAGE(E4:E36)</f>
        <v>0.22860606060606067</v>
      </c>
      <c r="F37" s="3">
        <f t="shared" si="0"/>
        <v>0.28263636363636369</v>
      </c>
      <c r="G37" s="3">
        <f t="shared" si="0"/>
        <v>0.35463636363636364</v>
      </c>
      <c r="H37" s="3">
        <f t="shared" si="0"/>
        <v>0.42484848484848481</v>
      </c>
      <c r="I37" s="3">
        <f t="shared" si="0"/>
        <v>0.48333333333333334</v>
      </c>
      <c r="J37" s="3">
        <f t="shared" si="0"/>
        <v>0.53981818181818186</v>
      </c>
      <c r="K37" s="3">
        <f t="shared" si="0"/>
        <v>0.59712121212121205</v>
      </c>
      <c r="L37" s="3">
        <f t="shared" si="0"/>
        <v>0.64842424242424268</v>
      </c>
      <c r="M37" s="3">
        <f t="shared" si="0"/>
        <v>0.69963636363636361</v>
      </c>
      <c r="N37" s="3">
        <f t="shared" si="0"/>
        <v>0.74345454545454537</v>
      </c>
      <c r="O37" s="3">
        <f t="shared" si="0"/>
        <v>0.78587878787878795</v>
      </c>
      <c r="P37" s="3">
        <f t="shared" si="0"/>
        <v>0.83642424242424229</v>
      </c>
      <c r="Q37" s="3">
        <f t="shared" si="0"/>
        <v>0.88524242424242416</v>
      </c>
      <c r="R37" s="3">
        <f t="shared" si="0"/>
        <v>0.92454545454545434</v>
      </c>
      <c r="S37" s="3">
        <f t="shared" si="0"/>
        <v>0.95366666666666677</v>
      </c>
      <c r="T37" s="3">
        <f t="shared" si="0"/>
        <v>0.97554545454545449</v>
      </c>
      <c r="U37" s="3">
        <f t="shared" si="0"/>
        <v>0.99724242424242426</v>
      </c>
      <c r="V37" s="3">
        <f t="shared" si="0"/>
        <v>1.0063636363636361</v>
      </c>
      <c r="W37" s="3">
        <f t="shared" si="0"/>
        <v>1.0113030303030306</v>
      </c>
      <c r="X37" s="3">
        <f t="shared" si="0"/>
        <v>1.0176060606060606</v>
      </c>
      <c r="Y37" s="3">
        <f t="shared" si="0"/>
        <v>1.0223333333333333</v>
      </c>
      <c r="Z37" s="3">
        <f t="shared" si="0"/>
        <v>1.0330909090909091</v>
      </c>
      <c r="AA37" s="3">
        <f t="shared" si="0"/>
        <v>1.0496363636363635</v>
      </c>
      <c r="AB37" s="3">
        <f t="shared" si="0"/>
        <v>1.0728484848484847</v>
      </c>
      <c r="AC37" s="3">
        <f t="shared" si="0"/>
        <v>1.0864848484848479</v>
      </c>
      <c r="AD37" s="3">
        <f t="shared" si="0"/>
        <v>29.31966666666667</v>
      </c>
    </row>
    <row r="38" spans="1:30" x14ac:dyDescent="0.3">
      <c r="D38" t="s">
        <v>39</v>
      </c>
      <c r="E38" s="3">
        <f>F37-E37</f>
        <v>5.4030303030303012E-2</v>
      </c>
      <c r="F38" s="3">
        <f t="shared" ref="F38:AB38" si="1">G37-F37</f>
        <v>7.1999999999999953E-2</v>
      </c>
      <c r="G38" s="3">
        <f t="shared" si="1"/>
        <v>7.021212121212117E-2</v>
      </c>
      <c r="H38" s="3">
        <f t="shared" si="1"/>
        <v>5.8484848484848528E-2</v>
      </c>
      <c r="I38" s="3">
        <f t="shared" si="1"/>
        <v>5.6484848484848527E-2</v>
      </c>
      <c r="J38" s="3">
        <f t="shared" si="1"/>
        <v>5.7303030303030189E-2</v>
      </c>
      <c r="K38" s="3">
        <f t="shared" si="1"/>
        <v>5.1303030303030628E-2</v>
      </c>
      <c r="L38" s="3">
        <f t="shared" si="1"/>
        <v>5.1212121212120931E-2</v>
      </c>
      <c r="M38" s="3">
        <f t="shared" si="1"/>
        <v>4.3818181818181756E-2</v>
      </c>
      <c r="N38" s="3">
        <f t="shared" si="1"/>
        <v>4.2424242424242586E-2</v>
      </c>
      <c r="O38" s="3">
        <f t="shared" si="1"/>
        <v>5.0545454545454338E-2</v>
      </c>
      <c r="P38" s="3">
        <f t="shared" si="1"/>
        <v>4.8818181818181872E-2</v>
      </c>
      <c r="Q38" s="3">
        <f t="shared" si="1"/>
        <v>3.9303030303030173E-2</v>
      </c>
      <c r="R38" s="3">
        <f t="shared" si="1"/>
        <v>2.9121212121212436E-2</v>
      </c>
      <c r="S38" s="3">
        <f t="shared" si="1"/>
        <v>2.187878787878772E-2</v>
      </c>
      <c r="T38" s="3">
        <f t="shared" si="1"/>
        <v>2.169696969696977E-2</v>
      </c>
      <c r="U38" s="3">
        <f t="shared" si="1"/>
        <v>9.1212121212118635E-3</v>
      </c>
      <c r="V38" s="3">
        <f t="shared" si="1"/>
        <v>4.9393939393944652E-3</v>
      </c>
      <c r="W38" s="3">
        <f t="shared" si="1"/>
        <v>6.3030303030300328E-3</v>
      </c>
      <c r="X38" s="3">
        <f t="shared" si="1"/>
        <v>4.7272727272726911E-3</v>
      </c>
      <c r="Y38" s="3">
        <f t="shared" si="1"/>
        <v>1.0757575757575744E-2</v>
      </c>
      <c r="Z38" s="3">
        <f t="shared" si="1"/>
        <v>1.6545454545454419E-2</v>
      </c>
      <c r="AA38" s="3">
        <f t="shared" si="1"/>
        <v>2.3212121212121239E-2</v>
      </c>
      <c r="AB38" s="3">
        <f t="shared" si="1"/>
        <v>1.3636363636363225E-2</v>
      </c>
      <c r="AC38" s="3"/>
      <c r="AD38" s="3"/>
    </row>
    <row r="39" spans="1:30" x14ac:dyDescent="0.3">
      <c r="D39" t="s">
        <v>40</v>
      </c>
      <c r="E39" s="3">
        <f t="shared" ref="E39:AD39" si="2">MIN(E4:E36)</f>
        <v>0.19900000000000001</v>
      </c>
      <c r="F39" s="3">
        <f t="shared" si="2"/>
        <v>0.26600000000000001</v>
      </c>
      <c r="G39" s="3">
        <f t="shared" si="2"/>
        <v>0.33600000000000002</v>
      </c>
      <c r="H39" s="3">
        <f t="shared" si="2"/>
        <v>0.40400000000000003</v>
      </c>
      <c r="I39" s="3">
        <f t="shared" si="2"/>
        <v>0.46</v>
      </c>
      <c r="J39" s="3">
        <f t="shared" si="2"/>
        <v>0.51400000000000001</v>
      </c>
      <c r="K39" s="3">
        <f t="shared" si="2"/>
        <v>0.57699999999999996</v>
      </c>
      <c r="L39" s="3">
        <f t="shared" si="2"/>
        <v>0.63400000000000001</v>
      </c>
      <c r="M39" s="3">
        <f t="shared" si="2"/>
        <v>0.68</v>
      </c>
      <c r="N39" s="3">
        <f t="shared" si="2"/>
        <v>0.72199999999999998</v>
      </c>
      <c r="O39" s="3">
        <f t="shared" si="2"/>
        <v>0.75800000000000001</v>
      </c>
      <c r="P39" s="3">
        <f t="shared" si="2"/>
        <v>0.80900000000000005</v>
      </c>
      <c r="Q39" s="3">
        <f t="shared" si="2"/>
        <v>0.86</v>
      </c>
      <c r="R39" s="3">
        <f t="shared" si="2"/>
        <v>0.9</v>
      </c>
      <c r="S39" s="3">
        <f t="shared" si="2"/>
        <v>0.92700000000000005</v>
      </c>
      <c r="T39" s="3">
        <f t="shared" si="2"/>
        <v>0.94699999999999995</v>
      </c>
      <c r="U39" s="3">
        <f t="shared" si="2"/>
        <v>0.97399999999999998</v>
      </c>
      <c r="V39" s="3">
        <f t="shared" si="2"/>
        <v>0.97499999999999998</v>
      </c>
      <c r="W39" s="3">
        <f t="shared" si="2"/>
        <v>0.98299999999999998</v>
      </c>
      <c r="X39" s="3">
        <f t="shared" si="2"/>
        <v>0.97299999999999998</v>
      </c>
      <c r="Y39" s="3">
        <f t="shared" si="2"/>
        <v>0.97299999999999998</v>
      </c>
      <c r="Z39" s="3">
        <f t="shared" si="2"/>
        <v>0.98199999999999998</v>
      </c>
      <c r="AA39" s="3">
        <f t="shared" si="2"/>
        <v>0.98899999999999999</v>
      </c>
      <c r="AB39" s="3">
        <f t="shared" si="2"/>
        <v>1.008</v>
      </c>
      <c r="AC39" s="3">
        <f t="shared" si="2"/>
        <v>1.0049999999999999</v>
      </c>
      <c r="AD39" s="3">
        <f t="shared" si="2"/>
        <v>29.128</v>
      </c>
    </row>
    <row r="40" spans="1:30" x14ac:dyDescent="0.3">
      <c r="D40" t="s">
        <v>41</v>
      </c>
      <c r="E40" s="3">
        <f t="shared" ref="E40:AD40" si="3">MAX(E4:E36)</f>
        <v>0.27900000000000003</v>
      </c>
      <c r="F40" s="3">
        <f t="shared" si="3"/>
        <v>0.29599999999999999</v>
      </c>
      <c r="G40" s="3">
        <f t="shared" si="3"/>
        <v>0.37</v>
      </c>
      <c r="H40" s="3">
        <f t="shared" si="3"/>
        <v>0.439</v>
      </c>
      <c r="I40" s="3">
        <f t="shared" si="3"/>
        <v>0.503</v>
      </c>
      <c r="J40" s="3">
        <f t="shared" si="3"/>
        <v>0.56200000000000006</v>
      </c>
      <c r="K40" s="3">
        <f t="shared" si="3"/>
        <v>0.61799999999999999</v>
      </c>
      <c r="L40" s="3">
        <f t="shared" si="3"/>
        <v>0.68400000000000005</v>
      </c>
      <c r="M40" s="3">
        <f t="shared" si="3"/>
        <v>0.753</v>
      </c>
      <c r="N40" s="3">
        <f t="shared" si="3"/>
        <v>0.76100000000000001</v>
      </c>
      <c r="O40" s="3">
        <f t="shared" si="3"/>
        <v>0.81499999999999995</v>
      </c>
      <c r="P40" s="3">
        <f t="shared" si="3"/>
        <v>0.86099999999999999</v>
      </c>
      <c r="Q40" s="3">
        <f t="shared" si="3"/>
        <v>0.92100000000000004</v>
      </c>
      <c r="R40" s="3">
        <f t="shared" si="3"/>
        <v>0.96499999999999997</v>
      </c>
      <c r="S40" s="3">
        <f t="shared" si="3"/>
        <v>0.99</v>
      </c>
      <c r="T40" s="3">
        <f t="shared" si="3"/>
        <v>1.0349999999999999</v>
      </c>
      <c r="U40" s="3">
        <f t="shared" si="3"/>
        <v>1.0329999999999999</v>
      </c>
      <c r="V40" s="3">
        <f t="shared" si="3"/>
        <v>1.0589999999999999</v>
      </c>
      <c r="W40" s="3">
        <f t="shared" si="3"/>
        <v>1.0620000000000001</v>
      </c>
      <c r="X40" s="3">
        <f t="shared" si="3"/>
        <v>1.079</v>
      </c>
      <c r="Y40" s="3">
        <f t="shared" si="3"/>
        <v>1.095</v>
      </c>
      <c r="Z40" s="3">
        <f t="shared" si="3"/>
        <v>1.095</v>
      </c>
      <c r="AA40" s="3">
        <f t="shared" si="3"/>
        <v>1.109</v>
      </c>
      <c r="AB40" s="3">
        <f t="shared" si="3"/>
        <v>1.125</v>
      </c>
      <c r="AC40" s="3">
        <f t="shared" si="3"/>
        <v>1.1499999999999999</v>
      </c>
      <c r="AD40" s="3">
        <f t="shared" si="3"/>
        <v>29.545999999999999</v>
      </c>
    </row>
    <row r="41" spans="1:30" x14ac:dyDescent="0.3">
      <c r="D41" t="s">
        <v>37</v>
      </c>
      <c r="E41" s="3">
        <f t="shared" ref="E41:AD41" si="4">AVERAGE(E4:E36)-(2*_xlfn.STDEV.S(E4:E36))</f>
        <v>0.19485721101848438</v>
      </c>
      <c r="F41" s="3">
        <f t="shared" si="4"/>
        <v>0.26950416863878068</v>
      </c>
      <c r="G41" s="3">
        <f t="shared" si="4"/>
        <v>0.33873968016292977</v>
      </c>
      <c r="H41" s="3">
        <f t="shared" si="4"/>
        <v>0.40679217561790554</v>
      </c>
      <c r="I41" s="3">
        <f t="shared" si="4"/>
        <v>0.46130115988932952</v>
      </c>
      <c r="J41" s="3">
        <f t="shared" si="4"/>
        <v>0.51702314647353642</v>
      </c>
      <c r="K41" s="3">
        <f t="shared" si="4"/>
        <v>0.57605727626061387</v>
      </c>
      <c r="L41" s="3">
        <f t="shared" si="4"/>
        <v>0.62721675375260655</v>
      </c>
      <c r="M41" s="3">
        <f t="shared" si="4"/>
        <v>0.6730336467552902</v>
      </c>
      <c r="N41" s="3">
        <f t="shared" si="4"/>
        <v>0.72471227432021568</v>
      </c>
      <c r="O41" s="3">
        <f t="shared" si="4"/>
        <v>0.76151304565862576</v>
      </c>
      <c r="P41" s="3">
        <f t="shared" si="4"/>
        <v>0.80951220839190696</v>
      </c>
      <c r="Q41" s="3">
        <f t="shared" si="4"/>
        <v>0.85735411888412782</v>
      </c>
      <c r="R41" s="3">
        <f t="shared" si="4"/>
        <v>0.89648707384961368</v>
      </c>
      <c r="S41" s="3">
        <f t="shared" si="4"/>
        <v>0.92595535730267842</v>
      </c>
      <c r="T41" s="3">
        <f t="shared" si="4"/>
        <v>0.93904514321427912</v>
      </c>
      <c r="U41" s="3">
        <f t="shared" si="4"/>
        <v>0.96740942949235642</v>
      </c>
      <c r="V41" s="3">
        <f t="shared" si="4"/>
        <v>0.96413858994028045</v>
      </c>
      <c r="W41" s="3">
        <f t="shared" si="4"/>
        <v>0.96870172501644092</v>
      </c>
      <c r="X41" s="3">
        <f t="shared" si="4"/>
        <v>0.96451194748148861</v>
      </c>
      <c r="Y41" s="3">
        <f t="shared" si="4"/>
        <v>0.96548558345115532</v>
      </c>
      <c r="Z41" s="3">
        <f t="shared" si="4"/>
        <v>0.96997125360158543</v>
      </c>
      <c r="AA41" s="3">
        <f t="shared" si="4"/>
        <v>0.98209412096220772</v>
      </c>
      <c r="AB41" s="3">
        <f t="shared" si="4"/>
        <v>1.0115620238393002</v>
      </c>
      <c r="AC41" s="3">
        <f t="shared" si="4"/>
        <v>1.0126774619775998</v>
      </c>
      <c r="AD41" s="3">
        <f t="shared" si="4"/>
        <v>29.123149703870411</v>
      </c>
    </row>
    <row r="42" spans="1:30" x14ac:dyDescent="0.3">
      <c r="D42" t="s">
        <v>38</v>
      </c>
      <c r="E42" s="3">
        <f t="shared" ref="E42:AD42" si="5">AVERAGE(E4:E36)+(2*_xlfn.STDEV.S(E4:E36))</f>
        <v>0.26235491019363699</v>
      </c>
      <c r="F42" s="3">
        <f t="shared" si="5"/>
        <v>0.29576855863394669</v>
      </c>
      <c r="G42" s="3">
        <f t="shared" si="5"/>
        <v>0.37053304710979751</v>
      </c>
      <c r="H42" s="3">
        <f t="shared" si="5"/>
        <v>0.44290479407906408</v>
      </c>
      <c r="I42" s="3">
        <f t="shared" si="5"/>
        <v>0.50536550677733716</v>
      </c>
      <c r="J42" s="3">
        <f t="shared" si="5"/>
        <v>0.56261321716282731</v>
      </c>
      <c r="K42" s="3">
        <f t="shared" si="5"/>
        <v>0.61818514798181023</v>
      </c>
      <c r="L42" s="3">
        <f t="shared" si="5"/>
        <v>0.66963173109587881</v>
      </c>
      <c r="M42" s="3">
        <f t="shared" si="5"/>
        <v>0.72623908051743702</v>
      </c>
      <c r="N42" s="3">
        <f t="shared" si="5"/>
        <v>0.76219681658887506</v>
      </c>
      <c r="O42" s="3">
        <f t="shared" si="5"/>
        <v>0.81024453009895014</v>
      </c>
      <c r="P42" s="3">
        <f t="shared" si="5"/>
        <v>0.86333627645657762</v>
      </c>
      <c r="Q42" s="3">
        <f t="shared" si="5"/>
        <v>0.9131307296007205</v>
      </c>
      <c r="R42" s="3">
        <f t="shared" si="5"/>
        <v>0.95260383524129499</v>
      </c>
      <c r="S42" s="3">
        <f t="shared" si="5"/>
        <v>0.98137797603065513</v>
      </c>
      <c r="T42" s="3">
        <f t="shared" si="5"/>
        <v>1.0120457658766298</v>
      </c>
      <c r="U42" s="3">
        <f t="shared" si="5"/>
        <v>1.027075418992492</v>
      </c>
      <c r="V42" s="3">
        <f t="shared" si="5"/>
        <v>1.0485886827869919</v>
      </c>
      <c r="W42" s="3">
        <f t="shared" si="5"/>
        <v>1.0539043355896203</v>
      </c>
      <c r="X42" s="3">
        <f t="shared" si="5"/>
        <v>1.0707001737306325</v>
      </c>
      <c r="Y42" s="3">
        <f t="shared" si="5"/>
        <v>1.0791810832155113</v>
      </c>
      <c r="Z42" s="3">
        <f t="shared" si="5"/>
        <v>1.0962105645802327</v>
      </c>
      <c r="AA42" s="3">
        <f t="shared" si="5"/>
        <v>1.1171786063105194</v>
      </c>
      <c r="AB42" s="3">
        <f t="shared" si="5"/>
        <v>1.1341349458576693</v>
      </c>
      <c r="AC42" s="3">
        <f t="shared" si="5"/>
        <v>1.1602922349920961</v>
      </c>
      <c r="AD42" s="3">
        <f t="shared" si="5"/>
        <v>29.51618362946293</v>
      </c>
    </row>
    <row r="43" spans="1:30" x14ac:dyDescent="0.3">
      <c r="D43" t="s">
        <v>43</v>
      </c>
      <c r="E43">
        <f t="shared" ref="E43:AD43" si="6">3*_xlfn.STDEV.S(E4:E36)</f>
        <v>5.0623274381364436E-2</v>
      </c>
      <c r="F43">
        <f t="shared" si="6"/>
        <v>1.9698292496374538E-2</v>
      </c>
      <c r="G43">
        <f t="shared" si="6"/>
        <v>2.3845025210150791E-2</v>
      </c>
      <c r="H43">
        <f t="shared" si="6"/>
        <v>2.708446384586894E-2</v>
      </c>
      <c r="I43">
        <f t="shared" si="6"/>
        <v>3.3048260166005719E-2</v>
      </c>
      <c r="J43">
        <f t="shared" si="6"/>
        <v>3.419255301696824E-2</v>
      </c>
      <c r="K43">
        <f t="shared" si="6"/>
        <v>3.1595903790897294E-2</v>
      </c>
      <c r="L43">
        <f t="shared" si="6"/>
        <v>3.1811233007454261E-2</v>
      </c>
      <c r="M43">
        <f t="shared" si="6"/>
        <v>3.9904075321610027E-2</v>
      </c>
      <c r="N43">
        <f t="shared" si="6"/>
        <v>2.8113406701494537E-2</v>
      </c>
      <c r="O43">
        <f t="shared" si="6"/>
        <v>3.6548613330243285E-2</v>
      </c>
      <c r="P43">
        <f t="shared" si="6"/>
        <v>4.0368051048503009E-2</v>
      </c>
      <c r="Q43">
        <f t="shared" si="6"/>
        <v>4.1832458037444425E-2</v>
      </c>
      <c r="R43">
        <f t="shared" si="6"/>
        <v>4.2087571043761041E-2</v>
      </c>
      <c r="S43">
        <f t="shared" si="6"/>
        <v>4.1566964045982466E-2</v>
      </c>
      <c r="T43">
        <f t="shared" si="6"/>
        <v>5.4750466996763031E-2</v>
      </c>
      <c r="U43">
        <f t="shared" si="6"/>
        <v>4.4749492125101757E-2</v>
      </c>
      <c r="V43">
        <f t="shared" si="6"/>
        <v>6.3337569635033564E-2</v>
      </c>
      <c r="W43">
        <f t="shared" si="6"/>
        <v>6.390195792988447E-2</v>
      </c>
      <c r="X43">
        <f t="shared" si="6"/>
        <v>7.9641169686858027E-2</v>
      </c>
      <c r="Y43">
        <f t="shared" si="6"/>
        <v>8.5271624823266945E-2</v>
      </c>
      <c r="Z43">
        <f t="shared" si="6"/>
        <v>9.4679483233985534E-2</v>
      </c>
      <c r="AA43">
        <f t="shared" si="6"/>
        <v>0.10131336401123367</v>
      </c>
      <c r="AB43">
        <f t="shared" si="6"/>
        <v>9.1929691513776904E-2</v>
      </c>
      <c r="AC43">
        <f t="shared" si="6"/>
        <v>0.11071107976087211</v>
      </c>
      <c r="AD43">
        <f t="shared" si="6"/>
        <v>0.29477544419439006</v>
      </c>
    </row>
    <row r="44" spans="1:30" x14ac:dyDescent="0.3">
      <c r="D44" t="s">
        <v>44</v>
      </c>
      <c r="E44">
        <f t="shared" ref="E44:AD44" si="7">(_xlfn.PERCENTILE.INC(E4:E36,0.95)-_xlfn.PERCENTILE.INC(E4:E36,0.05))/2</f>
        <v>2.5700000000000001E-2</v>
      </c>
      <c r="F44">
        <f t="shared" si="7"/>
        <v>1.009999999999997E-2</v>
      </c>
      <c r="G44">
        <f t="shared" si="7"/>
        <v>1.2499999999999983E-2</v>
      </c>
      <c r="H44">
        <f t="shared" si="7"/>
        <v>1.4000000000000012E-2</v>
      </c>
      <c r="I44">
        <f t="shared" si="7"/>
        <v>1.5000000000000013E-2</v>
      </c>
      <c r="J44">
        <f t="shared" si="7"/>
        <v>1.5100000000000002E-2</v>
      </c>
      <c r="K44">
        <f t="shared" si="7"/>
        <v>1.7000000000000015E-2</v>
      </c>
      <c r="L44">
        <f t="shared" si="7"/>
        <v>1.4900000000000024E-2</v>
      </c>
      <c r="M44">
        <f t="shared" si="7"/>
        <v>1.6499999999999959E-2</v>
      </c>
      <c r="N44">
        <f t="shared" si="7"/>
        <v>1.4100000000000001E-2</v>
      </c>
      <c r="O44">
        <f t="shared" si="7"/>
        <v>1.6800000000000037E-2</v>
      </c>
      <c r="P44">
        <f t="shared" si="7"/>
        <v>2.2399999999999975E-2</v>
      </c>
      <c r="Q44">
        <f t="shared" si="7"/>
        <v>2.3200000000000054E-2</v>
      </c>
      <c r="R44">
        <f t="shared" si="7"/>
        <v>1.8899999999999917E-2</v>
      </c>
      <c r="S44">
        <f t="shared" si="7"/>
        <v>1.8999999999999961E-2</v>
      </c>
      <c r="T44">
        <f t="shared" si="7"/>
        <v>2.6100000000000012E-2</v>
      </c>
      <c r="U44">
        <f t="shared" si="7"/>
        <v>2.3599999999999954E-2</v>
      </c>
      <c r="V44">
        <f t="shared" si="7"/>
        <v>3.0400000000000038E-2</v>
      </c>
      <c r="W44">
        <f t="shared" si="7"/>
        <v>3.1299999999999939E-2</v>
      </c>
      <c r="X44">
        <f t="shared" si="7"/>
        <v>3.9300000000000057E-2</v>
      </c>
      <c r="Y44">
        <f t="shared" si="7"/>
        <v>4.1200000000000014E-2</v>
      </c>
      <c r="Z44">
        <f t="shared" si="7"/>
        <v>4.6500000000000041E-2</v>
      </c>
      <c r="AA44">
        <f t="shared" si="7"/>
        <v>5.1400000000000001E-2</v>
      </c>
      <c r="AB44">
        <f t="shared" si="7"/>
        <v>5.2900000000000058E-2</v>
      </c>
      <c r="AC44">
        <f t="shared" si="7"/>
        <v>6.0899999999999954E-2</v>
      </c>
      <c r="AD44">
        <f t="shared" si="7"/>
        <v>0.15189999999999948</v>
      </c>
    </row>
    <row r="45" spans="1:30" x14ac:dyDescent="0.3">
      <c r="D45" t="s">
        <v>42</v>
      </c>
      <c r="E45">
        <f t="shared" ref="E45:AD45" si="8">MAX(3*_xlfn.STDEV.S(E4:E36),(_xlfn.PERCENTILE.INC(E4:E36,0.95)-_xlfn.PERCENTILE.INC(E4:E36,0.05))/2
)</f>
        <v>5.0623274381364436E-2</v>
      </c>
      <c r="F45">
        <f t="shared" si="8"/>
        <v>1.9698292496374538E-2</v>
      </c>
      <c r="G45">
        <f t="shared" si="8"/>
        <v>2.3845025210150791E-2</v>
      </c>
      <c r="H45">
        <f t="shared" si="8"/>
        <v>2.708446384586894E-2</v>
      </c>
      <c r="I45">
        <f t="shared" si="8"/>
        <v>3.3048260166005719E-2</v>
      </c>
      <c r="J45">
        <f t="shared" si="8"/>
        <v>3.419255301696824E-2</v>
      </c>
      <c r="K45">
        <f t="shared" si="8"/>
        <v>3.1595903790897294E-2</v>
      </c>
      <c r="L45">
        <f t="shared" si="8"/>
        <v>3.1811233007454261E-2</v>
      </c>
      <c r="M45">
        <f t="shared" si="8"/>
        <v>3.9904075321610027E-2</v>
      </c>
      <c r="N45">
        <f t="shared" si="8"/>
        <v>2.8113406701494537E-2</v>
      </c>
      <c r="O45">
        <f t="shared" si="8"/>
        <v>3.6548613330243285E-2</v>
      </c>
      <c r="P45">
        <f t="shared" si="8"/>
        <v>4.0368051048503009E-2</v>
      </c>
      <c r="Q45">
        <f t="shared" si="8"/>
        <v>4.1832458037444425E-2</v>
      </c>
      <c r="R45">
        <f t="shared" si="8"/>
        <v>4.2087571043761041E-2</v>
      </c>
      <c r="S45">
        <f t="shared" si="8"/>
        <v>4.1566964045982466E-2</v>
      </c>
      <c r="T45">
        <f t="shared" si="8"/>
        <v>5.4750466996763031E-2</v>
      </c>
      <c r="U45">
        <f t="shared" si="8"/>
        <v>4.4749492125101757E-2</v>
      </c>
      <c r="V45">
        <f t="shared" si="8"/>
        <v>6.3337569635033564E-2</v>
      </c>
      <c r="W45">
        <f t="shared" si="8"/>
        <v>6.390195792988447E-2</v>
      </c>
      <c r="X45">
        <f t="shared" si="8"/>
        <v>7.9641169686858027E-2</v>
      </c>
      <c r="Y45">
        <f t="shared" si="8"/>
        <v>8.5271624823266945E-2</v>
      </c>
      <c r="Z45">
        <f t="shared" si="8"/>
        <v>9.4679483233985534E-2</v>
      </c>
      <c r="AA45">
        <f t="shared" si="8"/>
        <v>0.10131336401123367</v>
      </c>
      <c r="AB45">
        <f t="shared" si="8"/>
        <v>9.1929691513776904E-2</v>
      </c>
      <c r="AC45">
        <f t="shared" si="8"/>
        <v>0.11071107976087211</v>
      </c>
      <c r="AD45">
        <f t="shared" si="8"/>
        <v>0.29477544419439006</v>
      </c>
    </row>
    <row r="46" spans="1:30" x14ac:dyDescent="0.3">
      <c r="C46" t="s">
        <v>36</v>
      </c>
      <c r="D46" t="s">
        <v>47</v>
      </c>
      <c r="E46" s="3">
        <f t="shared" ref="E46:AD46" si="9">ROUND(AVERAGE(E4:E36),3)</f>
        <v>0.22900000000000001</v>
      </c>
      <c r="F46" s="3">
        <f t="shared" si="9"/>
        <v>0.28299999999999997</v>
      </c>
      <c r="G46" s="3">
        <f t="shared" si="9"/>
        <v>0.35499999999999998</v>
      </c>
      <c r="H46" s="3">
        <f t="shared" si="9"/>
        <v>0.42499999999999999</v>
      </c>
      <c r="I46" s="3">
        <f t="shared" si="9"/>
        <v>0.48299999999999998</v>
      </c>
      <c r="J46" s="3">
        <f t="shared" si="9"/>
        <v>0.54</v>
      </c>
      <c r="K46" s="3">
        <f t="shared" si="9"/>
        <v>0.59699999999999998</v>
      </c>
      <c r="L46" s="3">
        <f t="shared" si="9"/>
        <v>0.64800000000000002</v>
      </c>
      <c r="M46" s="3">
        <f t="shared" si="9"/>
        <v>0.7</v>
      </c>
      <c r="N46" s="3">
        <f t="shared" si="9"/>
        <v>0.74299999999999999</v>
      </c>
      <c r="O46" s="3">
        <f t="shared" si="9"/>
        <v>0.78600000000000003</v>
      </c>
      <c r="P46" s="3">
        <f t="shared" si="9"/>
        <v>0.83599999999999997</v>
      </c>
      <c r="Q46" s="3">
        <f t="shared" si="9"/>
        <v>0.88500000000000001</v>
      </c>
      <c r="R46" s="3">
        <f t="shared" si="9"/>
        <v>0.92500000000000004</v>
      </c>
      <c r="S46" s="3">
        <f t="shared" si="9"/>
        <v>0.95399999999999996</v>
      </c>
      <c r="T46" s="3">
        <f t="shared" si="9"/>
        <v>0.97599999999999998</v>
      </c>
      <c r="U46" s="3">
        <f t="shared" si="9"/>
        <v>0.997</v>
      </c>
      <c r="V46" s="3">
        <f t="shared" si="9"/>
        <v>1.006</v>
      </c>
      <c r="W46" s="3">
        <f t="shared" si="9"/>
        <v>1.0109999999999999</v>
      </c>
      <c r="X46" s="3">
        <f t="shared" si="9"/>
        <v>1.018</v>
      </c>
      <c r="Y46" s="3">
        <f t="shared" si="9"/>
        <v>1.022</v>
      </c>
      <c r="Z46" s="3">
        <f t="shared" si="9"/>
        <v>1.0329999999999999</v>
      </c>
      <c r="AA46" s="3">
        <f t="shared" si="9"/>
        <v>1.05</v>
      </c>
      <c r="AB46" s="3">
        <f t="shared" si="9"/>
        <v>1.073</v>
      </c>
      <c r="AC46" s="3">
        <f t="shared" si="9"/>
        <v>1.0860000000000001</v>
      </c>
      <c r="AD46" s="3">
        <f t="shared" si="9"/>
        <v>29.32</v>
      </c>
    </row>
    <row r="47" spans="1:30" x14ac:dyDescent="0.3">
      <c r="C47" t="s">
        <v>45</v>
      </c>
      <c r="D47" t="s">
        <v>46</v>
      </c>
      <c r="E47" s="3">
        <f t="shared" ref="E47:AD47" si="10">ROUND(TRIMMEAN(E4:E36,0.1),3)</f>
        <v>0.22800000000000001</v>
      </c>
      <c r="F47" s="3">
        <f t="shared" si="10"/>
        <v>0.28299999999999997</v>
      </c>
      <c r="G47" s="3">
        <f t="shared" si="10"/>
        <v>0.35499999999999998</v>
      </c>
      <c r="H47" s="3">
        <f t="shared" si="10"/>
        <v>0.42499999999999999</v>
      </c>
      <c r="I47" s="3">
        <f t="shared" si="10"/>
        <v>0.48299999999999998</v>
      </c>
      <c r="J47" s="3">
        <f t="shared" si="10"/>
        <v>0.54</v>
      </c>
      <c r="K47" s="3">
        <f t="shared" si="10"/>
        <v>0.59699999999999998</v>
      </c>
      <c r="L47" s="3">
        <f t="shared" si="10"/>
        <v>0.64800000000000002</v>
      </c>
      <c r="M47" s="3">
        <f t="shared" si="10"/>
        <v>0.69899999999999995</v>
      </c>
      <c r="N47" s="3">
        <f t="shared" si="10"/>
        <v>0.74399999999999999</v>
      </c>
      <c r="O47" s="3">
        <f t="shared" si="10"/>
        <v>0.78600000000000003</v>
      </c>
      <c r="P47" s="3">
        <f t="shared" si="10"/>
        <v>0.83699999999999997</v>
      </c>
      <c r="Q47" s="3">
        <f t="shared" si="10"/>
        <v>0.88500000000000001</v>
      </c>
      <c r="R47" s="3">
        <f t="shared" si="10"/>
        <v>0.92400000000000004</v>
      </c>
      <c r="S47" s="3">
        <f t="shared" si="10"/>
        <v>0.95299999999999996</v>
      </c>
      <c r="T47" s="3">
        <f t="shared" si="10"/>
        <v>0.97499999999999998</v>
      </c>
      <c r="U47" s="3">
        <f t="shared" si="10"/>
        <v>0.997</v>
      </c>
      <c r="V47" s="3">
        <f t="shared" si="10"/>
        <v>1.006</v>
      </c>
      <c r="W47" s="3">
        <f t="shared" si="10"/>
        <v>1.0109999999999999</v>
      </c>
      <c r="X47" s="3">
        <f t="shared" si="10"/>
        <v>1.0169999999999999</v>
      </c>
      <c r="Y47" s="3">
        <f t="shared" si="10"/>
        <v>1.022</v>
      </c>
      <c r="Z47" s="3">
        <f t="shared" si="10"/>
        <v>1.0329999999999999</v>
      </c>
      <c r="AA47" s="3">
        <f t="shared" si="10"/>
        <v>1.05</v>
      </c>
      <c r="AB47" s="3">
        <f t="shared" si="10"/>
        <v>1.073</v>
      </c>
      <c r="AC47" s="3">
        <f t="shared" si="10"/>
        <v>1.087</v>
      </c>
      <c r="AD47" s="3">
        <f t="shared" si="10"/>
        <v>29.318999999999999</v>
      </c>
    </row>
    <row r="52" spans="5:6" x14ac:dyDescent="0.3">
      <c r="E52" s="7"/>
      <c r="F52" s="7"/>
    </row>
    <row r="53" spans="5:6" x14ac:dyDescent="0.3">
      <c r="E53" s="8"/>
      <c r="F53" s="6"/>
    </row>
    <row r="54" spans="5:6" x14ac:dyDescent="0.3">
      <c r="E54" s="8"/>
      <c r="F54" s="6"/>
    </row>
    <row r="55" spans="5:6" x14ac:dyDescent="0.3">
      <c r="E55" s="8"/>
      <c r="F55" s="6"/>
    </row>
    <row r="56" spans="5:6" x14ac:dyDescent="0.3">
      <c r="E56" s="8"/>
      <c r="F56" s="6"/>
    </row>
    <row r="57" spans="5:6" x14ac:dyDescent="0.3">
      <c r="E57" s="8"/>
      <c r="F57" s="6"/>
    </row>
    <row r="58" spans="5:6" x14ac:dyDescent="0.3">
      <c r="E58" s="8"/>
      <c r="F58" s="6"/>
    </row>
    <row r="59" spans="5:6" x14ac:dyDescent="0.3">
      <c r="E59" s="8"/>
      <c r="F59" s="6"/>
    </row>
    <row r="60" spans="5:6" x14ac:dyDescent="0.3">
      <c r="E60" s="8"/>
      <c r="F60" s="6"/>
    </row>
  </sheetData>
  <mergeCells count="6">
    <mergeCell ref="A2:B3"/>
    <mergeCell ref="C2:C3"/>
    <mergeCell ref="D2:D3"/>
    <mergeCell ref="E2:AD2"/>
    <mergeCell ref="A4:B36"/>
    <mergeCell ref="C4:C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F51D-DCF1-4686-8A67-644E3542C271}">
  <dimension ref="A1:AD94"/>
  <sheetViews>
    <sheetView zoomScale="85" zoomScaleNormal="85" workbookViewId="0">
      <pane xSplit="3" ySplit="3" topLeftCell="D60" activePane="bottomRight" state="frozen"/>
      <selection pane="topRight" activeCell="D1" sqref="D1"/>
      <selection pane="bottomLeft" activeCell="A4" sqref="A4"/>
      <selection pane="bottomRight" activeCell="H91" sqref="H91"/>
    </sheetView>
  </sheetViews>
  <sheetFormatPr defaultRowHeight="16.5" x14ac:dyDescent="0.3"/>
  <cols>
    <col min="3" max="3" width="17.5" customWidth="1"/>
    <col min="4" max="4" width="11.375" bestFit="1" customWidth="1"/>
    <col min="27" max="27" width="8.875" customWidth="1"/>
  </cols>
  <sheetData>
    <row r="1" spans="1:30" x14ac:dyDescent="0.3">
      <c r="X1" s="4"/>
    </row>
    <row r="2" spans="1:30" ht="20.100000000000001" customHeight="1" x14ac:dyDescent="0.3">
      <c r="A2" s="9" t="s">
        <v>1</v>
      </c>
      <c r="B2" s="10"/>
      <c r="C2" s="9" t="s">
        <v>3</v>
      </c>
      <c r="D2" s="11" t="s">
        <v>34</v>
      </c>
      <c r="E2" s="11" t="s">
        <v>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20.100000000000001" customHeight="1" x14ac:dyDescent="0.3">
      <c r="A3" s="9"/>
      <c r="B3" s="10"/>
      <c r="C3" s="9"/>
      <c r="D3" s="11"/>
      <c r="E3" s="2" t="s">
        <v>5</v>
      </c>
      <c r="F3" s="2" t="s">
        <v>35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7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0</v>
      </c>
    </row>
    <row r="4" spans="1:30" ht="16.5" customHeight="1" x14ac:dyDescent="0.3">
      <c r="A4" s="12" t="s">
        <v>30</v>
      </c>
      <c r="B4" s="12"/>
      <c r="C4" s="12" t="s">
        <v>4</v>
      </c>
      <c r="D4" s="1">
        <v>1</v>
      </c>
      <c r="E4" s="5">
        <v>0.252</v>
      </c>
      <c r="F4" s="5">
        <v>0.314</v>
      </c>
      <c r="G4" s="5">
        <v>0.39600000000000002</v>
      </c>
      <c r="H4" s="5">
        <v>0.47599999999999998</v>
      </c>
      <c r="I4" s="5">
        <v>0.53300000000000003</v>
      </c>
      <c r="J4" s="5">
        <v>0.57999999999999996</v>
      </c>
      <c r="K4" s="5">
        <v>0.625</v>
      </c>
      <c r="L4" s="5">
        <v>0.66400000000000003</v>
      </c>
      <c r="M4" s="5">
        <v>0.70499999999999996</v>
      </c>
      <c r="N4" s="5">
        <v>0.749</v>
      </c>
      <c r="O4" s="5">
        <v>0.79300000000000004</v>
      </c>
      <c r="P4" s="5">
        <v>0.82</v>
      </c>
      <c r="Q4" s="5">
        <v>0.85</v>
      </c>
      <c r="R4" s="5">
        <v>0.88700000000000001</v>
      </c>
      <c r="S4" s="5">
        <v>0.91100000000000003</v>
      </c>
      <c r="T4" s="5">
        <v>0.95</v>
      </c>
      <c r="U4" s="5">
        <v>1.004</v>
      </c>
      <c r="V4" s="5">
        <v>1.0109999999999999</v>
      </c>
      <c r="W4" s="5">
        <v>1.028</v>
      </c>
      <c r="X4" s="5">
        <v>1.0369999999999999</v>
      </c>
      <c r="Y4" s="5">
        <v>1.018</v>
      </c>
      <c r="Z4" s="5">
        <v>1.0449999999999999</v>
      </c>
      <c r="AA4" s="5">
        <v>1.0429999999999999</v>
      </c>
      <c r="AB4" s="5">
        <v>1.0449999999999999</v>
      </c>
      <c r="AC4" s="5">
        <v>1.0629999999999999</v>
      </c>
      <c r="AD4" s="5">
        <v>29.123999999999999</v>
      </c>
    </row>
    <row r="5" spans="1:30" ht="16.5" customHeight="1" x14ac:dyDescent="0.3">
      <c r="A5" s="12"/>
      <c r="B5" s="12"/>
      <c r="C5" s="12"/>
      <c r="D5" s="1">
        <v>2</v>
      </c>
      <c r="E5" s="5">
        <v>0.23400000000000001</v>
      </c>
      <c r="F5" s="5">
        <v>0.315</v>
      </c>
      <c r="G5" s="5">
        <v>0.39400000000000002</v>
      </c>
      <c r="H5" s="5">
        <v>0.48099999999999998</v>
      </c>
      <c r="I5" s="5">
        <v>0.53500000000000003</v>
      </c>
      <c r="J5" s="5">
        <v>0.57899999999999996</v>
      </c>
      <c r="K5" s="5">
        <v>0.628</v>
      </c>
      <c r="L5" s="5">
        <v>0.66900000000000004</v>
      </c>
      <c r="M5" s="5">
        <v>0.71</v>
      </c>
      <c r="N5" s="5">
        <v>0.753</v>
      </c>
      <c r="O5" s="5">
        <v>0.78500000000000003</v>
      </c>
      <c r="P5" s="5">
        <v>0.82799999999999996</v>
      </c>
      <c r="Q5" s="5">
        <v>0.85399999999999998</v>
      </c>
      <c r="R5" s="5">
        <v>0.878</v>
      </c>
      <c r="S5" s="5">
        <v>0.92100000000000004</v>
      </c>
      <c r="T5" s="5">
        <v>0.95899999999999996</v>
      </c>
      <c r="U5" s="5">
        <v>1.006</v>
      </c>
      <c r="V5" s="5">
        <v>1.018</v>
      </c>
      <c r="W5" s="5">
        <v>1.016</v>
      </c>
      <c r="X5" s="5">
        <v>1.018</v>
      </c>
      <c r="Y5" s="5">
        <v>1.0249999999999999</v>
      </c>
      <c r="Z5" s="5">
        <v>1.018</v>
      </c>
      <c r="AA5" s="5">
        <v>1.0029999999999999</v>
      </c>
      <c r="AB5" s="5">
        <v>1.077</v>
      </c>
      <c r="AC5" s="5">
        <v>1.087</v>
      </c>
      <c r="AD5" s="5">
        <v>29.193000000000001</v>
      </c>
    </row>
    <row r="6" spans="1:30" ht="16.5" customHeight="1" x14ac:dyDescent="0.3">
      <c r="A6" s="12"/>
      <c r="B6" s="12"/>
      <c r="C6" s="12"/>
      <c r="D6" s="1">
        <v>3</v>
      </c>
      <c r="E6" s="5">
        <v>0.249</v>
      </c>
      <c r="F6" s="5">
        <v>0.32</v>
      </c>
      <c r="G6" s="5">
        <v>0.40500000000000003</v>
      </c>
      <c r="H6" s="5">
        <v>0.47099999999999997</v>
      </c>
      <c r="I6" s="5">
        <v>0.53300000000000003</v>
      </c>
      <c r="J6" s="5">
        <v>0.57999999999999996</v>
      </c>
      <c r="K6" s="5">
        <v>0.627</v>
      </c>
      <c r="L6" s="5">
        <v>0.67700000000000005</v>
      </c>
      <c r="M6" s="5">
        <v>0.72099999999999997</v>
      </c>
      <c r="N6" s="5">
        <v>0.76700000000000002</v>
      </c>
      <c r="O6" s="5">
        <v>0.80400000000000005</v>
      </c>
      <c r="P6" s="5">
        <v>0.83</v>
      </c>
      <c r="Q6" s="5">
        <v>0.86699999999999999</v>
      </c>
      <c r="R6" s="5">
        <v>0.90700000000000003</v>
      </c>
      <c r="S6" s="5">
        <v>0.94399999999999995</v>
      </c>
      <c r="T6" s="5">
        <v>0.98</v>
      </c>
      <c r="U6" s="5">
        <v>1.0109999999999999</v>
      </c>
      <c r="V6" s="5">
        <v>1.0309999999999999</v>
      </c>
      <c r="W6" s="5">
        <v>1.0469999999999999</v>
      </c>
      <c r="X6" s="5">
        <v>1.0720000000000001</v>
      </c>
      <c r="Y6" s="5">
        <v>1.0980000000000001</v>
      </c>
      <c r="Z6" s="5">
        <v>1.0780000000000001</v>
      </c>
      <c r="AA6" s="5">
        <v>1.0529999999999999</v>
      </c>
      <c r="AB6" s="5">
        <v>1.0509999999999999</v>
      </c>
      <c r="AC6" s="5">
        <v>1.0960000000000001</v>
      </c>
      <c r="AD6" s="5">
        <v>29.143000000000001</v>
      </c>
    </row>
    <row r="7" spans="1:30" ht="16.5" customHeight="1" x14ac:dyDescent="0.3">
      <c r="A7" s="12"/>
      <c r="B7" s="12"/>
      <c r="C7" s="12"/>
      <c r="D7" s="1">
        <v>4</v>
      </c>
      <c r="E7" s="5">
        <v>0.248</v>
      </c>
      <c r="F7" s="5">
        <v>0.33100000000000002</v>
      </c>
      <c r="G7" s="5">
        <v>0.41899999999999998</v>
      </c>
      <c r="H7" s="5">
        <v>0.48499999999999999</v>
      </c>
      <c r="I7" s="5">
        <v>0.53800000000000003</v>
      </c>
      <c r="J7" s="5">
        <v>0.58899999999999997</v>
      </c>
      <c r="K7" s="5">
        <v>0.63300000000000001</v>
      </c>
      <c r="L7" s="5">
        <v>0.67800000000000005</v>
      </c>
      <c r="M7" s="5">
        <v>0.72799999999999998</v>
      </c>
      <c r="N7" s="5">
        <v>0.76700000000000002</v>
      </c>
      <c r="O7" s="5">
        <v>0.81200000000000006</v>
      </c>
      <c r="P7" s="5">
        <v>0.84399999999999997</v>
      </c>
      <c r="Q7" s="5">
        <v>0.88300000000000001</v>
      </c>
      <c r="R7" s="5">
        <v>0.91200000000000003</v>
      </c>
      <c r="S7" s="5">
        <v>0.95599999999999996</v>
      </c>
      <c r="T7" s="5">
        <v>0.96799999999999997</v>
      </c>
      <c r="U7" s="5">
        <v>1.01</v>
      </c>
      <c r="V7" s="5">
        <v>1.0309999999999999</v>
      </c>
      <c r="W7" s="5">
        <v>1.0309999999999999</v>
      </c>
      <c r="X7" s="5">
        <v>1.036</v>
      </c>
      <c r="Y7" s="5">
        <v>1.0329999999999999</v>
      </c>
      <c r="Z7" s="5">
        <v>1.03</v>
      </c>
      <c r="AA7" s="5">
        <v>1.0580000000000001</v>
      </c>
      <c r="AB7" s="5">
        <v>1.0840000000000001</v>
      </c>
      <c r="AC7" s="5">
        <v>1.0960000000000001</v>
      </c>
      <c r="AD7" s="5">
        <v>29.245999999999999</v>
      </c>
    </row>
    <row r="8" spans="1:30" ht="16.5" customHeight="1" x14ac:dyDescent="0.3">
      <c r="A8" s="12"/>
      <c r="B8" s="12"/>
      <c r="C8" s="12"/>
      <c r="D8" s="1">
        <v>5</v>
      </c>
      <c r="E8" s="5">
        <v>0.24299999999999999</v>
      </c>
      <c r="F8" s="5">
        <v>0.33200000000000002</v>
      </c>
      <c r="G8" s="5">
        <v>0.40699999999999997</v>
      </c>
      <c r="H8" s="5">
        <v>0.47899999999999998</v>
      </c>
      <c r="I8" s="5">
        <v>0.54400000000000004</v>
      </c>
      <c r="J8" s="5">
        <v>0.59399999999999997</v>
      </c>
      <c r="K8" s="5">
        <v>0.63400000000000001</v>
      </c>
      <c r="L8" s="5">
        <v>0.67200000000000004</v>
      </c>
      <c r="M8" s="5">
        <v>0.72499999999999998</v>
      </c>
      <c r="N8" s="5">
        <v>0.76800000000000002</v>
      </c>
      <c r="O8" s="5">
        <v>0.79800000000000004</v>
      </c>
      <c r="P8" s="5">
        <v>0.83299999999999996</v>
      </c>
      <c r="Q8" s="5">
        <v>0.86299999999999999</v>
      </c>
      <c r="R8" s="5">
        <v>0.88</v>
      </c>
      <c r="S8" s="5">
        <v>0.92400000000000004</v>
      </c>
      <c r="T8" s="5">
        <v>0.96899999999999997</v>
      </c>
      <c r="U8" s="5">
        <v>0.98699999999999999</v>
      </c>
      <c r="V8" s="5">
        <v>1.018</v>
      </c>
      <c r="W8" s="5">
        <v>1.0169999999999999</v>
      </c>
      <c r="X8" s="5">
        <v>1.0289999999999999</v>
      </c>
      <c r="Y8" s="5">
        <v>1.0309999999999999</v>
      </c>
      <c r="Z8" s="5">
        <v>1.022</v>
      </c>
      <c r="AA8" s="5">
        <v>1.0229999999999999</v>
      </c>
      <c r="AB8" s="5">
        <v>1.0549999999999999</v>
      </c>
      <c r="AC8" s="5">
        <v>1.097</v>
      </c>
      <c r="AD8" s="5">
        <v>29.11</v>
      </c>
    </row>
    <row r="9" spans="1:30" ht="16.5" customHeight="1" x14ac:dyDescent="0.3">
      <c r="A9" s="12"/>
      <c r="B9" s="12"/>
      <c r="C9" s="12"/>
      <c r="D9" s="1">
        <v>6</v>
      </c>
      <c r="E9" s="5">
        <v>0.248</v>
      </c>
      <c r="F9" s="5">
        <v>0.32800000000000001</v>
      </c>
      <c r="G9" s="5">
        <v>0.41</v>
      </c>
      <c r="H9" s="5">
        <v>0.48599999999999999</v>
      </c>
      <c r="I9" s="5">
        <v>0.54200000000000004</v>
      </c>
      <c r="J9" s="5">
        <v>0.59</v>
      </c>
      <c r="K9" s="5">
        <v>0.63500000000000001</v>
      </c>
      <c r="L9" s="5">
        <v>0.68600000000000005</v>
      </c>
      <c r="M9" s="5">
        <v>0.72599999999999998</v>
      </c>
      <c r="N9" s="5">
        <v>0.77200000000000002</v>
      </c>
      <c r="O9" s="5">
        <v>0.80800000000000005</v>
      </c>
      <c r="P9" s="5">
        <v>0.84099999999999997</v>
      </c>
      <c r="Q9" s="5">
        <v>0.86299999999999999</v>
      </c>
      <c r="R9" s="5">
        <v>0.90900000000000003</v>
      </c>
      <c r="S9" s="5">
        <v>0.94299999999999995</v>
      </c>
      <c r="T9" s="5">
        <v>0.97899999999999998</v>
      </c>
      <c r="U9" s="5">
        <v>1.0089999999999999</v>
      </c>
      <c r="V9" s="5">
        <v>1.038</v>
      </c>
      <c r="W9" s="5">
        <v>1.0429999999999999</v>
      </c>
      <c r="X9" s="5">
        <v>1.024</v>
      </c>
      <c r="Y9" s="5">
        <v>1.0289999999999999</v>
      </c>
      <c r="Z9" s="5">
        <v>1.0680000000000001</v>
      </c>
      <c r="AA9" s="5">
        <v>1.081</v>
      </c>
      <c r="AB9" s="5">
        <v>1.0820000000000001</v>
      </c>
      <c r="AC9" s="5">
        <v>1.103</v>
      </c>
      <c r="AD9" s="5">
        <v>29.178999999999998</v>
      </c>
    </row>
    <row r="10" spans="1:30" ht="16.5" customHeight="1" x14ac:dyDescent="0.3">
      <c r="A10" s="12"/>
      <c r="B10" s="12"/>
      <c r="C10" s="12"/>
      <c r="D10" s="1">
        <v>7</v>
      </c>
      <c r="E10" s="5">
        <v>0.24299999999999999</v>
      </c>
      <c r="F10" s="5">
        <v>0.33500000000000002</v>
      </c>
      <c r="G10" s="5">
        <v>0.40400000000000003</v>
      </c>
      <c r="H10" s="5">
        <v>0.48</v>
      </c>
      <c r="I10" s="5">
        <v>0.53900000000000003</v>
      </c>
      <c r="J10" s="5">
        <v>0.57699999999999996</v>
      </c>
      <c r="K10" s="5">
        <v>0.624</v>
      </c>
      <c r="L10" s="5">
        <v>0.66700000000000004</v>
      </c>
      <c r="M10" s="5">
        <v>0.71599999999999997</v>
      </c>
      <c r="N10" s="5">
        <v>0.75700000000000001</v>
      </c>
      <c r="O10" s="5">
        <v>0.79300000000000004</v>
      </c>
      <c r="P10" s="5">
        <v>0.82699999999999996</v>
      </c>
      <c r="Q10" s="5">
        <v>0.86599999999999999</v>
      </c>
      <c r="R10" s="5">
        <v>0.89</v>
      </c>
      <c r="S10" s="5">
        <v>0.90600000000000003</v>
      </c>
      <c r="T10" s="5">
        <v>0.94099999999999995</v>
      </c>
      <c r="U10" s="5">
        <v>0.97899999999999998</v>
      </c>
      <c r="V10" s="5">
        <v>0.999</v>
      </c>
      <c r="W10" s="5">
        <v>1.0109999999999999</v>
      </c>
      <c r="X10" s="5">
        <v>1.026</v>
      </c>
      <c r="Y10" s="5">
        <v>1.044</v>
      </c>
      <c r="Z10" s="5">
        <v>1.052</v>
      </c>
      <c r="AA10" s="5">
        <v>1.03</v>
      </c>
      <c r="AB10" s="5">
        <v>1.0349999999999999</v>
      </c>
      <c r="AC10" s="5">
        <v>1.0509999999999999</v>
      </c>
      <c r="AD10" s="5">
        <v>29.254000000000001</v>
      </c>
    </row>
    <row r="11" spans="1:30" ht="16.5" customHeight="1" x14ac:dyDescent="0.3">
      <c r="A11" s="12"/>
      <c r="B11" s="12"/>
      <c r="C11" s="12"/>
      <c r="D11" s="1">
        <v>8</v>
      </c>
      <c r="E11" s="5">
        <v>0.24099999999999999</v>
      </c>
      <c r="F11" s="5">
        <v>0.32200000000000001</v>
      </c>
      <c r="G11" s="5">
        <v>0.39900000000000002</v>
      </c>
      <c r="H11" s="5">
        <v>0.47899999999999998</v>
      </c>
      <c r="I11" s="5">
        <v>0.53700000000000003</v>
      </c>
      <c r="J11" s="5">
        <v>0.57799999999999996</v>
      </c>
      <c r="K11" s="5">
        <v>0.625</v>
      </c>
      <c r="L11" s="5">
        <v>0.67</v>
      </c>
      <c r="M11" s="5">
        <v>0.71299999999999997</v>
      </c>
      <c r="N11" s="5">
        <v>0.76</v>
      </c>
      <c r="O11" s="5">
        <v>0.80500000000000005</v>
      </c>
      <c r="P11" s="5">
        <v>0.83499999999999996</v>
      </c>
      <c r="Q11" s="5">
        <v>0.86699999999999999</v>
      </c>
      <c r="R11" s="5">
        <v>0.90700000000000003</v>
      </c>
      <c r="S11" s="5">
        <v>0.94299999999999995</v>
      </c>
      <c r="T11" s="5">
        <v>0.97199999999999998</v>
      </c>
      <c r="U11" s="5">
        <v>0.998</v>
      </c>
      <c r="V11" s="5">
        <v>1.0309999999999999</v>
      </c>
      <c r="W11" s="5">
        <v>1.016</v>
      </c>
      <c r="X11" s="5">
        <v>1.0189999999999999</v>
      </c>
      <c r="Y11" s="5">
        <v>1.036</v>
      </c>
      <c r="Z11" s="5">
        <v>1.0589999999999999</v>
      </c>
      <c r="AA11" s="5">
        <v>1.046</v>
      </c>
      <c r="AB11" s="5">
        <v>1.081</v>
      </c>
      <c r="AC11" s="5">
        <v>1.07</v>
      </c>
      <c r="AD11" s="5">
        <v>29.079000000000001</v>
      </c>
    </row>
    <row r="12" spans="1:30" ht="16.5" customHeight="1" x14ac:dyDescent="0.3">
      <c r="A12" s="12"/>
      <c r="B12" s="12"/>
      <c r="C12" s="12"/>
      <c r="D12" s="1">
        <v>9</v>
      </c>
      <c r="E12" s="5">
        <v>0.24399999999999999</v>
      </c>
      <c r="F12" s="5">
        <v>0.32900000000000001</v>
      </c>
      <c r="G12" s="5">
        <v>0.40600000000000003</v>
      </c>
      <c r="H12" s="5">
        <v>0.48799999999999999</v>
      </c>
      <c r="I12" s="5">
        <v>0.54900000000000004</v>
      </c>
      <c r="J12" s="5">
        <v>0.59699999999999998</v>
      </c>
      <c r="K12" s="5">
        <v>0.63900000000000001</v>
      </c>
      <c r="L12" s="5">
        <v>0.68400000000000005</v>
      </c>
      <c r="M12" s="5">
        <v>0.74</v>
      </c>
      <c r="N12" s="5">
        <v>0.77900000000000003</v>
      </c>
      <c r="O12" s="5">
        <v>0.81799999999999995</v>
      </c>
      <c r="P12" s="5">
        <v>0.85499999999999998</v>
      </c>
      <c r="Q12" s="5">
        <v>0.88800000000000001</v>
      </c>
      <c r="R12" s="5">
        <v>0.90500000000000003</v>
      </c>
      <c r="S12" s="5">
        <v>0.94399999999999995</v>
      </c>
      <c r="T12" s="5">
        <v>0.98899999999999999</v>
      </c>
      <c r="U12" s="5">
        <v>1.0129999999999999</v>
      </c>
      <c r="V12" s="5">
        <v>1.036</v>
      </c>
      <c r="W12" s="5">
        <v>1.056</v>
      </c>
      <c r="X12" s="5">
        <v>1.0660000000000001</v>
      </c>
      <c r="Y12" s="5">
        <v>1.0780000000000001</v>
      </c>
      <c r="Z12" s="5">
        <v>1.046</v>
      </c>
      <c r="AA12" s="5">
        <v>1.0309999999999999</v>
      </c>
      <c r="AB12" s="5">
        <v>1.1120000000000001</v>
      </c>
      <c r="AC12" s="5">
        <v>1.107</v>
      </c>
      <c r="AD12" s="5">
        <v>29.2</v>
      </c>
    </row>
    <row r="13" spans="1:30" ht="16.5" customHeight="1" x14ac:dyDescent="0.3">
      <c r="A13" s="12"/>
      <c r="B13" s="12"/>
      <c r="C13" s="12"/>
      <c r="D13" s="1">
        <v>10</v>
      </c>
      <c r="E13" s="5">
        <v>0.23799999999999999</v>
      </c>
      <c r="F13" s="5">
        <v>0.32600000000000001</v>
      </c>
      <c r="G13" s="5">
        <v>0.40600000000000003</v>
      </c>
      <c r="H13" s="5">
        <v>0.47599999999999998</v>
      </c>
      <c r="I13" s="5">
        <v>0.54500000000000004</v>
      </c>
      <c r="J13" s="5">
        <v>0.58799999999999997</v>
      </c>
      <c r="K13" s="5">
        <v>0.63800000000000001</v>
      </c>
      <c r="L13" s="5">
        <v>0.68600000000000005</v>
      </c>
      <c r="M13" s="5">
        <v>0.73799999999999999</v>
      </c>
      <c r="N13" s="5">
        <v>0.77200000000000002</v>
      </c>
      <c r="O13" s="5">
        <v>0.80900000000000005</v>
      </c>
      <c r="P13" s="5">
        <v>0.84499999999999997</v>
      </c>
      <c r="Q13" s="5">
        <v>0.88</v>
      </c>
      <c r="R13" s="5">
        <v>0.91400000000000003</v>
      </c>
      <c r="S13" s="5">
        <v>0.93400000000000005</v>
      </c>
      <c r="T13" s="5">
        <v>0.96599999999999997</v>
      </c>
      <c r="U13" s="5">
        <v>1.022</v>
      </c>
      <c r="V13" s="5">
        <v>1.0409999999999999</v>
      </c>
      <c r="W13" s="5">
        <v>1.0109999999999999</v>
      </c>
      <c r="X13" s="5">
        <v>0.997</v>
      </c>
      <c r="Y13" s="5">
        <v>1.0049999999999999</v>
      </c>
      <c r="Z13" s="5">
        <v>0.999</v>
      </c>
      <c r="AA13" s="5">
        <v>1.0309999999999999</v>
      </c>
      <c r="AB13" s="5">
        <v>1.0680000000000001</v>
      </c>
      <c r="AC13" s="5">
        <v>1.0940000000000001</v>
      </c>
      <c r="AD13" s="5">
        <v>29.251000000000001</v>
      </c>
    </row>
    <row r="14" spans="1:30" ht="16.5" customHeight="1" x14ac:dyDescent="0.3">
      <c r="A14" s="12"/>
      <c r="B14" s="12"/>
      <c r="C14" s="12"/>
      <c r="D14" s="1">
        <v>11</v>
      </c>
      <c r="E14" s="5">
        <v>0.252</v>
      </c>
      <c r="F14" s="5">
        <v>0.35</v>
      </c>
      <c r="G14" s="5">
        <v>0.42199999999999999</v>
      </c>
      <c r="H14" s="5">
        <v>0.48599999999999999</v>
      </c>
      <c r="I14" s="5">
        <v>0.54300000000000004</v>
      </c>
      <c r="J14" s="5">
        <v>0.57899999999999996</v>
      </c>
      <c r="K14" s="5">
        <v>0.63800000000000001</v>
      </c>
      <c r="L14" s="5">
        <v>0.68600000000000005</v>
      </c>
      <c r="M14" s="5">
        <v>0.73099999999999998</v>
      </c>
      <c r="N14" s="5">
        <v>0.77200000000000002</v>
      </c>
      <c r="O14" s="5">
        <v>0.79600000000000004</v>
      </c>
      <c r="P14" s="5">
        <v>0.84</v>
      </c>
      <c r="Q14" s="5">
        <v>0.86699999999999999</v>
      </c>
      <c r="R14" s="5">
        <v>0.90800000000000003</v>
      </c>
      <c r="S14" s="5">
        <v>0.92700000000000005</v>
      </c>
      <c r="T14" s="5">
        <v>0.96599999999999997</v>
      </c>
      <c r="U14" s="5">
        <v>0.99</v>
      </c>
      <c r="V14" s="5">
        <v>1.0169999999999999</v>
      </c>
      <c r="W14" s="5">
        <v>1.022</v>
      </c>
      <c r="X14" s="5">
        <v>1.024</v>
      </c>
      <c r="Y14" s="5">
        <v>1.0469999999999999</v>
      </c>
      <c r="Z14" s="5">
        <v>1.044</v>
      </c>
      <c r="AA14" s="5">
        <v>1.0329999999999999</v>
      </c>
      <c r="AB14" s="5">
        <v>1.032</v>
      </c>
      <c r="AC14" s="5">
        <v>1.081</v>
      </c>
      <c r="AD14" s="5">
        <v>29.274999999999999</v>
      </c>
    </row>
    <row r="15" spans="1:30" ht="16.5" customHeight="1" x14ac:dyDescent="0.3">
      <c r="A15" s="12"/>
      <c r="B15" s="12"/>
      <c r="C15" s="12"/>
      <c r="D15" s="1">
        <v>12</v>
      </c>
      <c r="E15" s="5">
        <v>0.28000000000000003</v>
      </c>
      <c r="F15" s="5">
        <v>0.32600000000000001</v>
      </c>
      <c r="G15" s="5">
        <v>0.40699999999999997</v>
      </c>
      <c r="H15" s="5">
        <v>0.49</v>
      </c>
      <c r="I15" s="5">
        <v>0.54300000000000004</v>
      </c>
      <c r="J15" s="5">
        <v>0.59599999999999997</v>
      </c>
      <c r="K15" s="5">
        <v>0.64100000000000001</v>
      </c>
      <c r="L15" s="5">
        <v>0.68400000000000005</v>
      </c>
      <c r="M15" s="5">
        <v>0.72199999999999998</v>
      </c>
      <c r="N15" s="5">
        <v>0.76300000000000001</v>
      </c>
      <c r="O15" s="5">
        <v>0.78500000000000003</v>
      </c>
      <c r="P15" s="5">
        <v>0.83</v>
      </c>
      <c r="Q15" s="5">
        <v>0.878</v>
      </c>
      <c r="R15" s="5">
        <v>0.92900000000000005</v>
      </c>
      <c r="S15" s="5">
        <v>0.97399999999999998</v>
      </c>
      <c r="T15" s="5">
        <v>0.999</v>
      </c>
      <c r="U15" s="5">
        <v>1.026</v>
      </c>
      <c r="V15" s="5">
        <v>1.0409999999999999</v>
      </c>
      <c r="W15" s="5">
        <v>1.0580000000000001</v>
      </c>
      <c r="X15" s="5">
        <v>1.0289999999999999</v>
      </c>
      <c r="Y15" s="5">
        <v>1.0249999999999999</v>
      </c>
      <c r="Z15" s="5">
        <v>1.052</v>
      </c>
      <c r="AA15" s="5">
        <v>1.095</v>
      </c>
      <c r="AB15" s="5">
        <v>1.0489999999999999</v>
      </c>
      <c r="AC15" s="5">
        <v>1.117</v>
      </c>
      <c r="AD15" s="5">
        <v>29.135000000000002</v>
      </c>
    </row>
    <row r="16" spans="1:30" ht="16.5" customHeight="1" x14ac:dyDescent="0.3">
      <c r="A16" s="12"/>
      <c r="B16" s="12"/>
      <c r="C16" s="12"/>
      <c r="D16" s="1">
        <v>13</v>
      </c>
      <c r="E16" s="5">
        <v>0.247</v>
      </c>
      <c r="F16" s="5">
        <v>0.34599999999999997</v>
      </c>
      <c r="G16" s="5">
        <v>0.42199999999999999</v>
      </c>
      <c r="H16" s="5">
        <v>0.49</v>
      </c>
      <c r="I16" s="5">
        <v>0.55300000000000005</v>
      </c>
      <c r="J16" s="5">
        <v>0.59299999999999997</v>
      </c>
      <c r="K16" s="5">
        <v>0.63700000000000001</v>
      </c>
      <c r="L16" s="5">
        <v>0.68500000000000005</v>
      </c>
      <c r="M16" s="5">
        <v>0.72299999999999998</v>
      </c>
      <c r="N16" s="5">
        <v>0.77400000000000002</v>
      </c>
      <c r="O16" s="5">
        <v>0.80400000000000005</v>
      </c>
      <c r="P16" s="5">
        <v>0.84899999999999998</v>
      </c>
      <c r="Q16" s="5">
        <v>0.879</v>
      </c>
      <c r="R16" s="5">
        <v>0.92100000000000004</v>
      </c>
      <c r="S16" s="5">
        <v>0.93200000000000005</v>
      </c>
      <c r="T16" s="5">
        <v>0.98599999999999999</v>
      </c>
      <c r="U16" s="5">
        <v>0.996</v>
      </c>
      <c r="V16" s="5">
        <v>1.006</v>
      </c>
      <c r="W16" s="5">
        <v>1.042</v>
      </c>
      <c r="X16" s="5">
        <v>1.012</v>
      </c>
      <c r="Y16" s="5">
        <v>1.0009999999999999</v>
      </c>
      <c r="Z16" s="5">
        <v>1.016</v>
      </c>
      <c r="AA16" s="5">
        <v>1.0349999999999999</v>
      </c>
      <c r="AB16" s="5">
        <v>1.0469999999999999</v>
      </c>
      <c r="AC16" s="5">
        <v>1.0509999999999999</v>
      </c>
      <c r="AD16" s="5">
        <v>29.172999999999998</v>
      </c>
    </row>
    <row r="17" spans="1:30" ht="16.5" customHeight="1" x14ac:dyDescent="0.3">
      <c r="A17" s="12"/>
      <c r="B17" s="12"/>
      <c r="C17" s="12"/>
      <c r="D17" s="1">
        <v>14</v>
      </c>
      <c r="E17" s="5">
        <v>0.248</v>
      </c>
      <c r="F17" s="5">
        <v>0.31900000000000001</v>
      </c>
      <c r="G17" s="5">
        <v>0.4</v>
      </c>
      <c r="H17" s="5">
        <v>0.48099999999999998</v>
      </c>
      <c r="I17" s="5">
        <v>0.53100000000000003</v>
      </c>
      <c r="J17" s="5">
        <v>0.57799999999999996</v>
      </c>
      <c r="K17" s="5">
        <v>0.61899999999999999</v>
      </c>
      <c r="L17" s="5">
        <v>0.66</v>
      </c>
      <c r="M17" s="5">
        <v>0.70299999999999996</v>
      </c>
      <c r="N17" s="5">
        <v>0.754</v>
      </c>
      <c r="O17" s="5">
        <v>0.79700000000000004</v>
      </c>
      <c r="P17" s="5">
        <v>0.83</v>
      </c>
      <c r="Q17" s="5">
        <v>0.88300000000000001</v>
      </c>
      <c r="R17" s="5">
        <v>0.91700000000000004</v>
      </c>
      <c r="S17" s="5">
        <v>0.94299999999999995</v>
      </c>
      <c r="T17" s="5">
        <v>0.97699999999999998</v>
      </c>
      <c r="U17" s="5">
        <v>1.004</v>
      </c>
      <c r="V17" s="5">
        <v>1.018</v>
      </c>
      <c r="W17" s="5">
        <v>1.026</v>
      </c>
      <c r="X17" s="5">
        <v>1.05</v>
      </c>
      <c r="Y17" s="5">
        <v>1.0089999999999999</v>
      </c>
      <c r="Z17" s="5">
        <v>0.995</v>
      </c>
      <c r="AA17" s="5">
        <v>1.091</v>
      </c>
      <c r="AB17" s="5">
        <v>1.0940000000000001</v>
      </c>
      <c r="AC17" s="5">
        <v>1.125</v>
      </c>
      <c r="AD17" s="5">
        <v>29.315000000000001</v>
      </c>
    </row>
    <row r="18" spans="1:30" ht="16.5" customHeight="1" x14ac:dyDescent="0.3">
      <c r="A18" s="12"/>
      <c r="B18" s="12"/>
      <c r="C18" s="12"/>
      <c r="D18" s="1">
        <v>15</v>
      </c>
      <c r="E18" s="5">
        <v>0.24299999999999999</v>
      </c>
      <c r="F18" s="5">
        <v>0.32800000000000001</v>
      </c>
      <c r="G18" s="5">
        <v>0.41</v>
      </c>
      <c r="H18" s="5">
        <v>0.48599999999999999</v>
      </c>
      <c r="I18" s="5">
        <v>0.53700000000000003</v>
      </c>
      <c r="J18" s="5">
        <v>0.58699999999999997</v>
      </c>
      <c r="K18" s="5">
        <v>0.626</v>
      </c>
      <c r="L18" s="5">
        <v>0.68200000000000005</v>
      </c>
      <c r="M18" s="5">
        <v>0.72799999999999998</v>
      </c>
      <c r="N18" s="5">
        <v>0.77400000000000002</v>
      </c>
      <c r="O18" s="5">
        <v>0.81899999999999995</v>
      </c>
      <c r="P18" s="5">
        <v>0.84699999999999998</v>
      </c>
      <c r="Q18" s="5">
        <v>0.88400000000000001</v>
      </c>
      <c r="R18" s="5">
        <v>0.90900000000000003</v>
      </c>
      <c r="S18" s="5">
        <v>0.95699999999999996</v>
      </c>
      <c r="T18" s="5">
        <v>1.004</v>
      </c>
      <c r="U18" s="5">
        <v>1.022</v>
      </c>
      <c r="V18" s="5">
        <v>1.036</v>
      </c>
      <c r="W18" s="5">
        <v>1.0329999999999999</v>
      </c>
      <c r="X18" s="5">
        <v>1.0189999999999999</v>
      </c>
      <c r="Y18" s="5">
        <v>1.03</v>
      </c>
      <c r="Z18" s="5">
        <v>1.0329999999999999</v>
      </c>
      <c r="AA18" s="5">
        <v>1.0429999999999999</v>
      </c>
      <c r="AB18" s="5">
        <v>1.0469999999999999</v>
      </c>
      <c r="AC18" s="5">
        <v>1.071</v>
      </c>
      <c r="AD18" s="5">
        <v>29.178999999999998</v>
      </c>
    </row>
    <row r="19" spans="1:30" ht="16.5" customHeight="1" x14ac:dyDescent="0.3">
      <c r="A19" s="12"/>
      <c r="B19" s="12"/>
      <c r="C19" s="12"/>
      <c r="D19" s="1">
        <v>16</v>
      </c>
      <c r="E19" s="5">
        <v>0.245</v>
      </c>
      <c r="F19" s="5">
        <v>0.32700000000000001</v>
      </c>
      <c r="G19" s="5">
        <v>0.40500000000000003</v>
      </c>
      <c r="H19" s="5">
        <v>0.49</v>
      </c>
      <c r="I19" s="5">
        <v>0.54800000000000004</v>
      </c>
      <c r="J19" s="5">
        <v>0.58799999999999997</v>
      </c>
      <c r="K19" s="5">
        <v>0.63700000000000001</v>
      </c>
      <c r="L19" s="5">
        <v>0.68200000000000005</v>
      </c>
      <c r="M19" s="5">
        <v>0.72899999999999998</v>
      </c>
      <c r="N19" s="5">
        <v>0.77800000000000002</v>
      </c>
      <c r="O19" s="5">
        <v>0.82099999999999995</v>
      </c>
      <c r="P19" s="5">
        <v>0.85499999999999998</v>
      </c>
      <c r="Q19" s="5">
        <v>0.88</v>
      </c>
      <c r="R19" s="5">
        <v>0.93300000000000005</v>
      </c>
      <c r="S19" s="5">
        <v>0.96299999999999997</v>
      </c>
      <c r="T19" s="5">
        <v>0.999</v>
      </c>
      <c r="U19" s="5">
        <v>1.018</v>
      </c>
      <c r="V19" s="5">
        <v>1.0429999999999999</v>
      </c>
      <c r="W19" s="5">
        <v>1.0649999999999999</v>
      </c>
      <c r="X19" s="5">
        <v>1.0649999999999999</v>
      </c>
      <c r="Y19" s="5">
        <v>1.071</v>
      </c>
      <c r="Z19" s="5">
        <v>1.085</v>
      </c>
      <c r="AA19" s="5">
        <v>1.095</v>
      </c>
      <c r="AB19" s="5">
        <v>1.093</v>
      </c>
      <c r="AC19" s="5">
        <v>1.123</v>
      </c>
      <c r="AD19" s="5">
        <v>29.263000000000002</v>
      </c>
    </row>
    <row r="20" spans="1:30" ht="16.5" customHeight="1" x14ac:dyDescent="0.3">
      <c r="A20" s="12"/>
      <c r="B20" s="12"/>
      <c r="C20" s="12"/>
      <c r="D20" s="1">
        <v>17</v>
      </c>
      <c r="E20" s="5">
        <v>0.24099999999999999</v>
      </c>
      <c r="F20" s="5">
        <v>0.32100000000000001</v>
      </c>
      <c r="G20" s="5">
        <v>0.39800000000000002</v>
      </c>
      <c r="H20" s="5">
        <v>0.47599999999999998</v>
      </c>
      <c r="I20" s="5">
        <v>0.53600000000000003</v>
      </c>
      <c r="J20" s="5">
        <v>0.58399999999999996</v>
      </c>
      <c r="K20" s="5">
        <v>0.63800000000000001</v>
      </c>
      <c r="L20" s="5">
        <v>0.67300000000000004</v>
      </c>
      <c r="M20" s="5">
        <v>0.72599999999999998</v>
      </c>
      <c r="N20" s="5">
        <v>0.76600000000000001</v>
      </c>
      <c r="O20" s="5">
        <v>0.80500000000000005</v>
      </c>
      <c r="P20" s="5">
        <v>0.84</v>
      </c>
      <c r="Q20" s="5">
        <v>0.872</v>
      </c>
      <c r="R20" s="5">
        <v>0.89100000000000001</v>
      </c>
      <c r="S20" s="5">
        <v>0.93700000000000006</v>
      </c>
      <c r="T20" s="5">
        <v>0.96299999999999997</v>
      </c>
      <c r="U20" s="5">
        <v>0.997</v>
      </c>
      <c r="V20" s="5">
        <v>0.99299999999999999</v>
      </c>
      <c r="W20" s="5">
        <v>1.024</v>
      </c>
      <c r="X20" s="5">
        <v>1.048</v>
      </c>
      <c r="Y20" s="5">
        <v>0.98499999999999999</v>
      </c>
      <c r="Z20" s="5">
        <v>1.0149999999999999</v>
      </c>
      <c r="AA20" s="5">
        <v>1.0620000000000001</v>
      </c>
      <c r="AB20" s="5">
        <v>1.0620000000000001</v>
      </c>
      <c r="AC20" s="5">
        <v>1.08</v>
      </c>
      <c r="AD20" s="5">
        <v>29.045999999999999</v>
      </c>
    </row>
    <row r="21" spans="1:30" ht="16.5" customHeight="1" x14ac:dyDescent="0.3">
      <c r="A21" s="12"/>
      <c r="B21" s="12"/>
      <c r="C21" s="12"/>
      <c r="D21" s="1">
        <v>18</v>
      </c>
      <c r="E21" s="5">
        <v>0.246</v>
      </c>
      <c r="F21" s="5">
        <v>0.32200000000000001</v>
      </c>
      <c r="G21" s="5">
        <v>0.39100000000000001</v>
      </c>
      <c r="H21" s="5">
        <v>0.47</v>
      </c>
      <c r="I21" s="5">
        <v>0.52900000000000003</v>
      </c>
      <c r="J21" s="5">
        <v>0.57699999999999996</v>
      </c>
      <c r="K21" s="5">
        <v>0.622</v>
      </c>
      <c r="L21" s="5">
        <v>0.66800000000000004</v>
      </c>
      <c r="M21" s="5">
        <v>0.72</v>
      </c>
      <c r="N21" s="5">
        <v>0.76100000000000001</v>
      </c>
      <c r="O21" s="5">
        <v>0.80100000000000005</v>
      </c>
      <c r="P21" s="5">
        <v>0.83299999999999996</v>
      </c>
      <c r="Q21" s="5">
        <v>0.86099999999999999</v>
      </c>
      <c r="R21" s="5">
        <v>0.91400000000000003</v>
      </c>
      <c r="S21" s="5">
        <v>0.95299999999999996</v>
      </c>
      <c r="T21" s="5">
        <v>0.99099999999999999</v>
      </c>
      <c r="U21" s="5">
        <v>1.018</v>
      </c>
      <c r="V21" s="5">
        <v>1.0349999999999999</v>
      </c>
      <c r="W21" s="5">
        <v>1.0129999999999999</v>
      </c>
      <c r="X21" s="5">
        <v>1.016</v>
      </c>
      <c r="Y21" s="5">
        <v>1.0509999999999999</v>
      </c>
      <c r="Z21" s="5">
        <v>1.0649999999999999</v>
      </c>
      <c r="AA21" s="5">
        <v>1.0720000000000001</v>
      </c>
      <c r="AB21" s="5">
        <v>1.0680000000000001</v>
      </c>
      <c r="AC21" s="5">
        <v>1.0960000000000001</v>
      </c>
      <c r="AD21" s="5">
        <v>29.094000000000001</v>
      </c>
    </row>
    <row r="22" spans="1:30" ht="16.5" customHeight="1" x14ac:dyDescent="0.3">
      <c r="A22" s="12"/>
      <c r="B22" s="12"/>
      <c r="C22" s="12"/>
      <c r="D22" s="1">
        <v>19</v>
      </c>
      <c r="E22" s="5">
        <v>0.255</v>
      </c>
      <c r="F22" s="5">
        <v>0.31900000000000001</v>
      </c>
      <c r="G22" s="5">
        <v>0.39700000000000002</v>
      </c>
      <c r="H22" s="5">
        <v>0.47499999999999998</v>
      </c>
      <c r="I22" s="5">
        <v>0.53400000000000003</v>
      </c>
      <c r="J22" s="5">
        <v>0.58399999999999996</v>
      </c>
      <c r="K22" s="5">
        <v>0.621</v>
      </c>
      <c r="L22" s="5">
        <v>0.66900000000000004</v>
      </c>
      <c r="M22" s="5">
        <v>0.71399999999999997</v>
      </c>
      <c r="N22" s="5">
        <v>0.75900000000000001</v>
      </c>
      <c r="O22" s="5">
        <v>0.79100000000000004</v>
      </c>
      <c r="P22" s="5">
        <v>0.81899999999999995</v>
      </c>
      <c r="Q22" s="5">
        <v>0.86299999999999999</v>
      </c>
      <c r="R22" s="5">
        <v>0.89300000000000002</v>
      </c>
      <c r="S22" s="5">
        <v>0.92500000000000004</v>
      </c>
      <c r="T22" s="5">
        <v>0.96899999999999997</v>
      </c>
      <c r="U22" s="5">
        <v>0.995</v>
      </c>
      <c r="V22" s="5">
        <v>1.0009999999999999</v>
      </c>
      <c r="W22" s="5">
        <v>0.99399999999999999</v>
      </c>
      <c r="X22" s="5">
        <v>0.998</v>
      </c>
      <c r="Y22" s="5">
        <v>1</v>
      </c>
      <c r="Z22" s="5">
        <v>1.0489999999999999</v>
      </c>
      <c r="AA22" s="5">
        <v>1.071</v>
      </c>
      <c r="AB22" s="5">
        <v>1.093</v>
      </c>
      <c r="AC22" s="5">
        <v>1.0920000000000001</v>
      </c>
      <c r="AD22" s="5">
        <v>29.038</v>
      </c>
    </row>
    <row r="23" spans="1:30" ht="16.5" customHeight="1" x14ac:dyDescent="0.3">
      <c r="A23" s="12"/>
      <c r="B23" s="12"/>
      <c r="C23" s="12"/>
      <c r="D23" s="1">
        <v>20</v>
      </c>
      <c r="E23" s="5">
        <v>0.254</v>
      </c>
      <c r="F23" s="5">
        <v>0.32600000000000001</v>
      </c>
      <c r="G23" s="5">
        <v>0.40699999999999997</v>
      </c>
      <c r="H23" s="5">
        <v>0.48199999999999998</v>
      </c>
      <c r="I23" s="5">
        <v>0.54400000000000004</v>
      </c>
      <c r="J23" s="5">
        <v>0.59799999999999998</v>
      </c>
      <c r="K23" s="5">
        <v>0.64100000000000001</v>
      </c>
      <c r="L23" s="5">
        <v>0.68</v>
      </c>
      <c r="M23" s="5">
        <v>0.72599999999999998</v>
      </c>
      <c r="N23" s="5">
        <v>0.77400000000000002</v>
      </c>
      <c r="O23" s="5">
        <v>0.81</v>
      </c>
      <c r="P23" s="5">
        <v>0.84099999999999997</v>
      </c>
      <c r="Q23" s="5">
        <v>0.871</v>
      </c>
      <c r="R23" s="5">
        <v>0.91600000000000004</v>
      </c>
      <c r="S23" s="5">
        <v>0.93700000000000006</v>
      </c>
      <c r="T23" s="5">
        <v>0.97299999999999998</v>
      </c>
      <c r="U23" s="5">
        <v>1.018</v>
      </c>
      <c r="V23" s="5">
        <v>1.0329999999999999</v>
      </c>
      <c r="W23" s="5">
        <v>1.0029999999999999</v>
      </c>
      <c r="X23" s="5">
        <v>1.018</v>
      </c>
      <c r="Y23" s="5">
        <v>0.998</v>
      </c>
      <c r="Z23" s="5">
        <v>1.0629999999999999</v>
      </c>
      <c r="AA23" s="5">
        <v>1.012</v>
      </c>
      <c r="AB23" s="5">
        <v>1.0580000000000001</v>
      </c>
      <c r="AC23" s="5">
        <v>1.1240000000000001</v>
      </c>
      <c r="AD23" s="5">
        <v>29.181000000000001</v>
      </c>
    </row>
    <row r="24" spans="1:30" ht="16.5" customHeight="1" x14ac:dyDescent="0.3">
      <c r="A24" s="12"/>
      <c r="B24" s="12"/>
      <c r="C24" s="12"/>
      <c r="D24" s="1">
        <v>21</v>
      </c>
      <c r="E24" s="5">
        <v>0.27</v>
      </c>
      <c r="F24" s="5">
        <v>0.33100000000000002</v>
      </c>
      <c r="G24" s="5">
        <v>0.41199999999999998</v>
      </c>
      <c r="H24" s="5">
        <v>0.49299999999999999</v>
      </c>
      <c r="I24" s="5">
        <v>0.54</v>
      </c>
      <c r="J24" s="5">
        <v>0.59299999999999997</v>
      </c>
      <c r="K24" s="5">
        <v>0.63800000000000001</v>
      </c>
      <c r="L24" s="5">
        <v>0.68500000000000005</v>
      </c>
      <c r="M24" s="5">
        <v>0.72799999999999998</v>
      </c>
      <c r="N24" s="5">
        <v>0.76300000000000001</v>
      </c>
      <c r="O24" s="5">
        <v>0.79700000000000004</v>
      </c>
      <c r="P24" s="5">
        <v>0.83099999999999996</v>
      </c>
      <c r="Q24" s="5">
        <v>0.86399999999999999</v>
      </c>
      <c r="R24" s="5">
        <v>0.9</v>
      </c>
      <c r="S24" s="5">
        <v>0.94599999999999995</v>
      </c>
      <c r="T24" s="5">
        <v>0.97</v>
      </c>
      <c r="U24" s="5">
        <v>1</v>
      </c>
      <c r="V24" s="5">
        <v>1.004</v>
      </c>
      <c r="W24" s="5">
        <v>1.022</v>
      </c>
      <c r="X24" s="5">
        <v>1.0289999999999999</v>
      </c>
      <c r="Y24" s="5">
        <v>1.034</v>
      </c>
      <c r="Z24" s="5">
        <v>1.04</v>
      </c>
      <c r="AA24" s="5">
        <v>1.0529999999999999</v>
      </c>
      <c r="AB24" s="5">
        <v>1.0740000000000001</v>
      </c>
      <c r="AC24" s="5">
        <v>1.131</v>
      </c>
      <c r="AD24" s="5">
        <v>29.236999999999998</v>
      </c>
    </row>
    <row r="25" spans="1:30" ht="16.5" customHeight="1" x14ac:dyDescent="0.3">
      <c r="A25" s="12"/>
      <c r="B25" s="12"/>
      <c r="C25" s="12"/>
      <c r="D25" s="1">
        <v>22</v>
      </c>
      <c r="E25" s="5">
        <v>0.33800000000000002</v>
      </c>
      <c r="F25" s="5">
        <v>0.33400000000000002</v>
      </c>
      <c r="G25" s="5">
        <v>0.42</v>
      </c>
      <c r="H25" s="5">
        <v>0.496</v>
      </c>
      <c r="I25" s="5">
        <v>0.53800000000000003</v>
      </c>
      <c r="J25" s="5">
        <v>0.58899999999999997</v>
      </c>
      <c r="K25" s="5">
        <v>0.63200000000000001</v>
      </c>
      <c r="L25" s="5">
        <v>0.68300000000000005</v>
      </c>
      <c r="M25" s="5">
        <v>0.73199999999999998</v>
      </c>
      <c r="N25" s="5">
        <v>0.76700000000000002</v>
      </c>
      <c r="O25" s="5">
        <v>0.80600000000000005</v>
      </c>
      <c r="P25" s="5">
        <v>0.84199999999999997</v>
      </c>
      <c r="Q25" s="5">
        <v>0.877</v>
      </c>
      <c r="R25" s="5">
        <v>0.90800000000000003</v>
      </c>
      <c r="S25" s="5">
        <v>0.94299999999999995</v>
      </c>
      <c r="T25" s="5">
        <v>0.97899999999999998</v>
      </c>
      <c r="U25" s="5">
        <v>1.004</v>
      </c>
      <c r="V25" s="5">
        <v>1.0209999999999999</v>
      </c>
      <c r="W25" s="5">
        <v>0.99199999999999999</v>
      </c>
      <c r="X25" s="5">
        <v>1.032</v>
      </c>
      <c r="Y25" s="5">
        <v>1.026</v>
      </c>
      <c r="Z25" s="5">
        <v>1.0569999999999999</v>
      </c>
      <c r="AA25" s="5">
        <v>1.056</v>
      </c>
      <c r="AB25" s="5">
        <v>1.048</v>
      </c>
      <c r="AC25" s="5">
        <v>1.069</v>
      </c>
      <c r="AD25" s="5">
        <v>28.99</v>
      </c>
    </row>
    <row r="26" spans="1:30" ht="16.5" customHeight="1" x14ac:dyDescent="0.3">
      <c r="A26" s="12"/>
      <c r="B26" s="12"/>
      <c r="C26" s="12"/>
      <c r="D26" s="1">
        <v>23</v>
      </c>
      <c r="E26" s="5">
        <v>0.318</v>
      </c>
      <c r="F26" s="5">
        <v>0.33800000000000002</v>
      </c>
      <c r="G26" s="5">
        <v>0.41199999999999998</v>
      </c>
      <c r="H26" s="5">
        <v>0.49</v>
      </c>
      <c r="I26" s="5">
        <v>0.54300000000000004</v>
      </c>
      <c r="J26" s="5">
        <v>0.58299999999999996</v>
      </c>
      <c r="K26" s="5">
        <v>0.63700000000000001</v>
      </c>
      <c r="L26" s="5">
        <v>0.68</v>
      </c>
      <c r="M26" s="5">
        <v>0.72599999999999998</v>
      </c>
      <c r="N26" s="5">
        <v>0.77200000000000002</v>
      </c>
      <c r="O26" s="5">
        <v>0.81100000000000005</v>
      </c>
      <c r="P26" s="5">
        <v>0.83699999999999997</v>
      </c>
      <c r="Q26" s="5">
        <v>0.878</v>
      </c>
      <c r="R26" s="5">
        <v>0.89400000000000002</v>
      </c>
      <c r="S26" s="5">
        <v>0.94299999999999995</v>
      </c>
      <c r="T26" s="5">
        <v>0.97099999999999997</v>
      </c>
      <c r="U26" s="5">
        <v>0.99</v>
      </c>
      <c r="V26" s="5">
        <v>1.006</v>
      </c>
      <c r="W26" s="5">
        <v>0.996</v>
      </c>
      <c r="X26" s="5">
        <v>1.0009999999999999</v>
      </c>
      <c r="Y26" s="5">
        <v>1.018</v>
      </c>
      <c r="Z26" s="5">
        <v>1.0029999999999999</v>
      </c>
      <c r="AA26" s="5">
        <v>1.026</v>
      </c>
      <c r="AB26" s="5">
        <v>1.044</v>
      </c>
      <c r="AC26" s="5">
        <v>1.127</v>
      </c>
      <c r="AD26" s="5">
        <v>29.248000000000001</v>
      </c>
    </row>
    <row r="27" spans="1:30" ht="16.5" customHeight="1" x14ac:dyDescent="0.3">
      <c r="A27" s="12"/>
      <c r="B27" s="12"/>
      <c r="C27" s="12"/>
      <c r="D27" s="1">
        <v>24</v>
      </c>
      <c r="E27" s="5">
        <v>0.25900000000000001</v>
      </c>
      <c r="F27" s="5">
        <v>0.318</v>
      </c>
      <c r="G27" s="5">
        <v>0.39500000000000002</v>
      </c>
      <c r="H27" s="5">
        <v>0.46600000000000003</v>
      </c>
      <c r="I27" s="5">
        <v>0.52700000000000002</v>
      </c>
      <c r="J27" s="5">
        <v>0.57299999999999995</v>
      </c>
      <c r="K27" s="5">
        <v>0.61499999999999999</v>
      </c>
      <c r="L27" s="5">
        <v>0.66300000000000003</v>
      </c>
      <c r="M27" s="5">
        <v>0.71299999999999997</v>
      </c>
      <c r="N27" s="5">
        <v>0.751</v>
      </c>
      <c r="O27" s="5">
        <v>0.79</v>
      </c>
      <c r="P27" s="5">
        <v>0.82699999999999996</v>
      </c>
      <c r="Q27" s="5">
        <v>0.86699999999999999</v>
      </c>
      <c r="R27" s="5">
        <v>0.91400000000000003</v>
      </c>
      <c r="S27" s="5">
        <v>0.94499999999999995</v>
      </c>
      <c r="T27" s="5">
        <v>0.99399999999999999</v>
      </c>
      <c r="U27" s="5">
        <v>1.0409999999999999</v>
      </c>
      <c r="V27" s="5">
        <v>0.99</v>
      </c>
      <c r="W27" s="5">
        <v>0.99299999999999999</v>
      </c>
      <c r="X27" s="5">
        <v>1.079</v>
      </c>
      <c r="Y27" s="5">
        <v>1.0860000000000001</v>
      </c>
      <c r="Z27" s="5">
        <v>1.081</v>
      </c>
      <c r="AA27" s="5">
        <v>1.0780000000000001</v>
      </c>
      <c r="AB27" s="5">
        <v>1.125</v>
      </c>
      <c r="AC27" s="5">
        <v>1.115</v>
      </c>
      <c r="AD27" s="5">
        <v>29.27</v>
      </c>
    </row>
    <row r="28" spans="1:30" ht="16.5" customHeight="1" x14ac:dyDescent="0.3">
      <c r="A28" s="12"/>
      <c r="B28" s="12"/>
      <c r="C28" s="12"/>
      <c r="D28" s="1">
        <v>25</v>
      </c>
      <c r="E28" s="5">
        <v>0.30299999999999999</v>
      </c>
      <c r="F28" s="5">
        <v>0.32900000000000001</v>
      </c>
      <c r="G28" s="5">
        <v>0.39800000000000002</v>
      </c>
      <c r="H28" s="5">
        <v>0.46800000000000003</v>
      </c>
      <c r="I28" s="5">
        <v>0.52100000000000002</v>
      </c>
      <c r="J28" s="5">
        <v>0.56599999999999995</v>
      </c>
      <c r="K28" s="5">
        <v>0.60899999999999999</v>
      </c>
      <c r="L28" s="5">
        <v>0.65800000000000003</v>
      </c>
      <c r="M28" s="5">
        <v>0.70699999999999996</v>
      </c>
      <c r="N28" s="5">
        <v>0.752</v>
      </c>
      <c r="O28" s="5">
        <v>0.77500000000000002</v>
      </c>
      <c r="P28" s="5">
        <v>0.80700000000000005</v>
      </c>
      <c r="Q28" s="5">
        <v>0.83699999999999997</v>
      </c>
      <c r="R28" s="5">
        <v>0.86499999999999999</v>
      </c>
      <c r="S28" s="5">
        <v>0.89200000000000002</v>
      </c>
      <c r="T28" s="5">
        <v>0.92600000000000005</v>
      </c>
      <c r="U28" s="5">
        <v>0.95899999999999996</v>
      </c>
      <c r="V28" s="5">
        <v>0.96899999999999997</v>
      </c>
      <c r="W28" s="5">
        <v>0.97299999999999998</v>
      </c>
      <c r="X28" s="5">
        <v>0.97299999999999998</v>
      </c>
      <c r="Y28" s="5">
        <v>0.997</v>
      </c>
      <c r="Z28" s="5">
        <v>0.999</v>
      </c>
      <c r="AA28" s="5">
        <v>1.004</v>
      </c>
      <c r="AB28" s="5">
        <v>0.98899999999999999</v>
      </c>
      <c r="AC28" s="5">
        <v>0.98199999999999998</v>
      </c>
      <c r="AD28" s="5">
        <v>29.257999999999999</v>
      </c>
    </row>
    <row r="29" spans="1:30" ht="16.5" customHeight="1" x14ac:dyDescent="0.3">
      <c r="A29" s="12"/>
      <c r="B29" s="12"/>
      <c r="C29" s="12"/>
      <c r="D29" s="1">
        <v>26</v>
      </c>
      <c r="E29" s="5">
        <v>0.24299999999999999</v>
      </c>
      <c r="F29" s="5">
        <v>0.316</v>
      </c>
      <c r="G29" s="5">
        <v>0.39300000000000002</v>
      </c>
      <c r="H29" s="5">
        <v>0.47199999999999998</v>
      </c>
      <c r="I29" s="5">
        <v>0.54400000000000004</v>
      </c>
      <c r="J29" s="5">
        <v>0.57999999999999996</v>
      </c>
      <c r="K29" s="5">
        <v>0.622</v>
      </c>
      <c r="L29" s="5">
        <v>0.66500000000000004</v>
      </c>
      <c r="M29" s="5">
        <v>0.71699999999999997</v>
      </c>
      <c r="N29" s="5">
        <v>0.75900000000000001</v>
      </c>
      <c r="O29" s="5">
        <v>0.79200000000000004</v>
      </c>
      <c r="P29" s="5">
        <v>0.83699999999999997</v>
      </c>
      <c r="Q29" s="5">
        <v>0.86799999999999999</v>
      </c>
      <c r="R29" s="5">
        <v>0.90700000000000003</v>
      </c>
      <c r="S29" s="5">
        <v>0.93600000000000005</v>
      </c>
      <c r="T29" s="5">
        <v>0.96799999999999997</v>
      </c>
      <c r="U29" s="5">
        <v>0.98899999999999999</v>
      </c>
      <c r="V29" s="5">
        <v>1.006</v>
      </c>
      <c r="W29" s="5">
        <v>1.0209999999999999</v>
      </c>
      <c r="X29" s="5">
        <v>1.046</v>
      </c>
      <c r="Y29" s="5">
        <v>1.069</v>
      </c>
      <c r="Z29" s="5">
        <v>1.0569999999999999</v>
      </c>
      <c r="AA29" s="5">
        <v>1.0740000000000001</v>
      </c>
      <c r="AB29" s="5">
        <v>1.0880000000000001</v>
      </c>
      <c r="AC29" s="5">
        <v>1.163</v>
      </c>
      <c r="AD29" s="5">
        <v>29.263000000000002</v>
      </c>
    </row>
    <row r="30" spans="1:30" x14ac:dyDescent="0.3">
      <c r="A30" s="12"/>
      <c r="B30" s="12"/>
      <c r="C30" s="12"/>
      <c r="D30" s="1">
        <v>27</v>
      </c>
      <c r="E30" s="5">
        <v>0.371</v>
      </c>
      <c r="F30" s="5">
        <v>0.34399999999999997</v>
      </c>
      <c r="G30" s="5">
        <v>0.41899999999999998</v>
      </c>
      <c r="H30" s="5">
        <v>0.497</v>
      </c>
      <c r="I30" s="5">
        <v>0.56200000000000006</v>
      </c>
      <c r="J30" s="5">
        <v>0.60699999999999998</v>
      </c>
      <c r="K30" s="5">
        <v>0.65900000000000003</v>
      </c>
      <c r="L30" s="5">
        <v>0.70799999999999996</v>
      </c>
      <c r="M30" s="5">
        <v>0.755</v>
      </c>
      <c r="N30" s="5">
        <v>0.78100000000000003</v>
      </c>
      <c r="O30" s="5">
        <v>0.81299999999999994</v>
      </c>
      <c r="P30" s="5">
        <v>0.84599999999999997</v>
      </c>
      <c r="Q30" s="5">
        <v>0.88700000000000001</v>
      </c>
      <c r="R30" s="5">
        <v>0.90800000000000003</v>
      </c>
      <c r="S30" s="5">
        <v>0.94299999999999995</v>
      </c>
      <c r="T30" s="5">
        <v>0.97799999999999998</v>
      </c>
      <c r="U30" s="5">
        <v>0.99399999999999999</v>
      </c>
      <c r="V30" s="5">
        <v>0.99</v>
      </c>
      <c r="W30" s="5">
        <v>1.006</v>
      </c>
      <c r="X30" s="5">
        <v>1.0169999999999999</v>
      </c>
      <c r="Y30" s="5">
        <v>1.04</v>
      </c>
      <c r="Z30" s="5">
        <v>1.095</v>
      </c>
      <c r="AA30" s="5">
        <v>1.0820000000000001</v>
      </c>
      <c r="AB30" s="5">
        <v>1.095</v>
      </c>
      <c r="AC30" s="5">
        <v>1.0840000000000001</v>
      </c>
      <c r="AD30" s="5">
        <v>29.192</v>
      </c>
    </row>
    <row r="31" spans="1:30" x14ac:dyDescent="0.3">
      <c r="A31" s="12"/>
      <c r="B31" s="12"/>
      <c r="C31" s="12"/>
      <c r="D31" s="1">
        <v>28</v>
      </c>
      <c r="E31" s="5">
        <v>0.23400000000000001</v>
      </c>
      <c r="F31" s="5">
        <v>0.307</v>
      </c>
      <c r="G31" s="5">
        <v>0.378</v>
      </c>
      <c r="H31" s="5">
        <v>0.45600000000000002</v>
      </c>
      <c r="I31" s="5">
        <v>0.51</v>
      </c>
      <c r="J31" s="5">
        <v>0.55500000000000005</v>
      </c>
      <c r="K31" s="5">
        <v>0.59899999999999998</v>
      </c>
      <c r="L31" s="5">
        <v>0.64600000000000002</v>
      </c>
      <c r="M31" s="5">
        <v>0.69699999999999995</v>
      </c>
      <c r="N31" s="5">
        <v>0.74199999999999999</v>
      </c>
      <c r="O31" s="5">
        <v>0.77200000000000002</v>
      </c>
      <c r="P31" s="5">
        <v>0.81799999999999995</v>
      </c>
      <c r="Q31" s="5">
        <v>0.83199999999999996</v>
      </c>
      <c r="R31" s="5">
        <v>0.85699999999999998</v>
      </c>
      <c r="S31" s="5">
        <v>0.88900000000000001</v>
      </c>
      <c r="T31" s="5">
        <v>0.92100000000000004</v>
      </c>
      <c r="U31" s="5">
        <v>0.95799999999999996</v>
      </c>
      <c r="V31" s="5">
        <v>0.96</v>
      </c>
      <c r="W31" s="5">
        <v>0.96199999999999997</v>
      </c>
      <c r="X31" s="5">
        <v>0.97699999999999998</v>
      </c>
      <c r="Y31" s="5">
        <v>0.99</v>
      </c>
      <c r="Z31" s="5">
        <v>1.0129999999999999</v>
      </c>
      <c r="AA31" s="5">
        <v>1.0209999999999999</v>
      </c>
      <c r="AB31" s="5">
        <v>1.004</v>
      </c>
      <c r="AC31" s="5">
        <v>0.99</v>
      </c>
      <c r="AD31" s="5">
        <v>29.009</v>
      </c>
    </row>
    <row r="32" spans="1:30" x14ac:dyDescent="0.3">
      <c r="A32" s="12"/>
      <c r="B32" s="12"/>
      <c r="C32" s="12"/>
      <c r="D32" s="1">
        <v>29</v>
      </c>
      <c r="E32" s="5">
        <v>0.26600000000000001</v>
      </c>
      <c r="F32" s="5">
        <v>0.32800000000000001</v>
      </c>
      <c r="G32" s="5">
        <v>0.39400000000000002</v>
      </c>
      <c r="H32" s="5">
        <v>0.47299999999999998</v>
      </c>
      <c r="I32" s="5">
        <v>0.53300000000000003</v>
      </c>
      <c r="J32" s="5">
        <v>0.58299999999999996</v>
      </c>
      <c r="K32" s="5">
        <v>0.63300000000000001</v>
      </c>
      <c r="L32" s="5">
        <v>0.67900000000000005</v>
      </c>
      <c r="M32" s="5">
        <v>0.73399999999999999</v>
      </c>
      <c r="N32" s="5">
        <v>0.76500000000000001</v>
      </c>
      <c r="O32" s="5">
        <v>0.80200000000000005</v>
      </c>
      <c r="P32" s="5">
        <v>0.83799999999999997</v>
      </c>
      <c r="Q32" s="5">
        <v>0.878</v>
      </c>
      <c r="R32" s="5">
        <v>0.90100000000000002</v>
      </c>
      <c r="S32" s="5">
        <v>0.93300000000000005</v>
      </c>
      <c r="T32" s="5">
        <v>0.95399999999999996</v>
      </c>
      <c r="U32" s="5">
        <v>0.997</v>
      </c>
      <c r="V32" s="5">
        <v>1.006</v>
      </c>
      <c r="W32" s="5">
        <v>1.004</v>
      </c>
      <c r="X32" s="5">
        <v>1.0249999999999999</v>
      </c>
      <c r="Y32" s="5">
        <v>1.0349999999999999</v>
      </c>
      <c r="Z32" s="5">
        <v>1.0580000000000001</v>
      </c>
      <c r="AA32" s="5">
        <v>1.0349999999999999</v>
      </c>
      <c r="AB32" s="5">
        <v>1.071</v>
      </c>
      <c r="AC32" s="5">
        <v>1.0880000000000001</v>
      </c>
      <c r="AD32" s="5">
        <v>29.448</v>
      </c>
    </row>
    <row r="33" spans="1:30" x14ac:dyDescent="0.3">
      <c r="A33" s="12"/>
      <c r="B33" s="12"/>
      <c r="C33" s="12"/>
      <c r="D33" s="1">
        <v>30</v>
      </c>
      <c r="E33" s="5">
        <v>0.28199999999999997</v>
      </c>
      <c r="F33" s="5">
        <v>0.32800000000000001</v>
      </c>
      <c r="G33" s="5">
        <v>0.40600000000000003</v>
      </c>
      <c r="H33" s="5">
        <v>0.47899999999999998</v>
      </c>
      <c r="I33" s="5">
        <v>0.53400000000000003</v>
      </c>
      <c r="J33" s="5">
        <v>0.58099999999999996</v>
      </c>
      <c r="K33" s="5">
        <v>0.621</v>
      </c>
      <c r="L33" s="5">
        <v>0.66700000000000004</v>
      </c>
      <c r="M33" s="5">
        <v>0.71399999999999997</v>
      </c>
      <c r="N33" s="5">
        <v>0.75800000000000001</v>
      </c>
      <c r="O33" s="5">
        <v>0.79400000000000004</v>
      </c>
      <c r="P33" s="5">
        <v>0.83099999999999996</v>
      </c>
      <c r="Q33" s="5">
        <v>0.86399999999999999</v>
      </c>
      <c r="R33" s="5">
        <v>0.90100000000000002</v>
      </c>
      <c r="S33" s="5">
        <v>0.93400000000000005</v>
      </c>
      <c r="T33" s="5">
        <v>0.97399999999999998</v>
      </c>
      <c r="U33" s="5">
        <v>1.0089999999999999</v>
      </c>
      <c r="V33" s="5">
        <v>0.996</v>
      </c>
      <c r="W33" s="5">
        <v>1.0209999999999999</v>
      </c>
      <c r="X33" s="5">
        <v>1.0189999999999999</v>
      </c>
      <c r="Y33" s="5">
        <v>1.052</v>
      </c>
      <c r="Z33" s="5">
        <v>1.052</v>
      </c>
      <c r="AA33" s="5">
        <v>1.0640000000000001</v>
      </c>
      <c r="AB33" s="5">
        <v>1.0589999999999999</v>
      </c>
      <c r="AC33" s="5">
        <v>1.1020000000000001</v>
      </c>
      <c r="AD33" s="5">
        <v>29.276</v>
      </c>
    </row>
    <row r="34" spans="1:30" x14ac:dyDescent="0.3">
      <c r="A34" s="12"/>
      <c r="B34" s="12"/>
      <c r="C34" s="12"/>
      <c r="D34" s="1">
        <v>31</v>
      </c>
      <c r="E34" s="5">
        <v>0.23</v>
      </c>
      <c r="F34" s="5">
        <v>0.311</v>
      </c>
      <c r="G34" s="5">
        <v>0.38900000000000001</v>
      </c>
      <c r="H34" s="5">
        <v>0.46</v>
      </c>
      <c r="I34" s="5">
        <v>0.51800000000000002</v>
      </c>
      <c r="J34" s="5">
        <v>0.57499999999999996</v>
      </c>
      <c r="K34" s="5">
        <v>0.61199999999999999</v>
      </c>
      <c r="L34" s="5">
        <v>0.65600000000000003</v>
      </c>
      <c r="M34" s="5">
        <v>0.69899999999999995</v>
      </c>
      <c r="N34" s="5">
        <v>0.751</v>
      </c>
      <c r="O34" s="5">
        <v>0.78500000000000003</v>
      </c>
      <c r="P34" s="5">
        <v>0.81799999999999995</v>
      </c>
      <c r="Q34" s="5">
        <v>0.84</v>
      </c>
      <c r="R34" s="5">
        <v>0.877</v>
      </c>
      <c r="S34" s="5">
        <v>0.91400000000000003</v>
      </c>
      <c r="T34" s="5">
        <v>0.93799999999999994</v>
      </c>
      <c r="U34" s="5">
        <v>0.96899999999999997</v>
      </c>
      <c r="V34" s="5">
        <v>0.98399999999999999</v>
      </c>
      <c r="W34" s="5">
        <v>1.014</v>
      </c>
      <c r="X34" s="5">
        <v>1.0269999999999999</v>
      </c>
      <c r="Y34" s="5">
        <v>1.044</v>
      </c>
      <c r="Z34" s="5">
        <v>1.069</v>
      </c>
      <c r="AA34" s="5">
        <v>1.0660000000000001</v>
      </c>
      <c r="AB34" s="5">
        <v>1.0549999999999999</v>
      </c>
      <c r="AC34" s="5">
        <v>1.0469999999999999</v>
      </c>
      <c r="AD34" s="5">
        <v>29.504999999999999</v>
      </c>
    </row>
    <row r="35" spans="1:30" x14ac:dyDescent="0.3">
      <c r="A35" s="12"/>
      <c r="B35" s="12"/>
      <c r="C35" s="12"/>
      <c r="D35" s="1">
        <v>32</v>
      </c>
      <c r="E35" s="5">
        <v>0.31</v>
      </c>
      <c r="F35" s="5">
        <v>0.34899999999999998</v>
      </c>
      <c r="G35" s="5">
        <v>0.42599999999999999</v>
      </c>
      <c r="H35" s="5">
        <v>0.49399999999999999</v>
      </c>
      <c r="I35" s="5">
        <v>0.54600000000000004</v>
      </c>
      <c r="J35" s="5">
        <v>0.59799999999999998</v>
      </c>
      <c r="K35" s="5">
        <v>0.64400000000000002</v>
      </c>
      <c r="L35" s="5">
        <v>0.69</v>
      </c>
      <c r="M35" s="5">
        <v>0.73099999999999998</v>
      </c>
      <c r="N35" s="5">
        <v>0.77100000000000002</v>
      </c>
      <c r="O35" s="5">
        <v>0.80800000000000005</v>
      </c>
      <c r="P35" s="5">
        <v>0.83599999999999997</v>
      </c>
      <c r="Q35" s="5">
        <v>0.86499999999999999</v>
      </c>
      <c r="R35" s="5">
        <v>0.89900000000000002</v>
      </c>
      <c r="S35" s="5">
        <v>0.92800000000000005</v>
      </c>
      <c r="T35" s="5">
        <v>0.96399999999999997</v>
      </c>
      <c r="U35" s="5">
        <v>0.97699999999999998</v>
      </c>
      <c r="V35" s="5">
        <v>0.97699999999999998</v>
      </c>
      <c r="W35" s="5">
        <v>0.997</v>
      </c>
      <c r="X35" s="5">
        <v>0.96899999999999997</v>
      </c>
      <c r="Y35" s="5">
        <v>1.05</v>
      </c>
      <c r="Z35" s="5">
        <v>1.0329999999999999</v>
      </c>
      <c r="AA35" s="5">
        <v>1.01</v>
      </c>
      <c r="AB35" s="5">
        <v>1.04</v>
      </c>
      <c r="AC35" s="5">
        <v>1.0369999999999999</v>
      </c>
      <c r="AD35" s="5">
        <v>28.885000000000002</v>
      </c>
    </row>
    <row r="36" spans="1:30" x14ac:dyDescent="0.3">
      <c r="A36" s="12"/>
      <c r="B36" s="12"/>
      <c r="C36" s="12"/>
      <c r="D36" s="1">
        <v>33</v>
      </c>
      <c r="E36" s="5">
        <v>0.26</v>
      </c>
      <c r="F36" s="5">
        <v>0.33300000000000002</v>
      </c>
      <c r="G36" s="5">
        <v>0.40799999999999997</v>
      </c>
      <c r="H36" s="5">
        <v>0.48899999999999999</v>
      </c>
      <c r="I36" s="5">
        <v>0.54200000000000004</v>
      </c>
      <c r="J36" s="5">
        <v>0.58899999999999997</v>
      </c>
      <c r="K36" s="5">
        <v>0.63</v>
      </c>
      <c r="L36" s="5">
        <v>0.68</v>
      </c>
      <c r="M36" s="5">
        <v>0.72899999999999998</v>
      </c>
      <c r="N36" s="5">
        <v>0.77</v>
      </c>
      <c r="O36" s="5">
        <v>0.80700000000000005</v>
      </c>
      <c r="P36" s="5">
        <v>0.83799999999999997</v>
      </c>
      <c r="Q36" s="5">
        <v>0.87</v>
      </c>
      <c r="R36" s="5">
        <v>0.90500000000000003</v>
      </c>
      <c r="S36" s="5">
        <v>0.93300000000000005</v>
      </c>
      <c r="T36" s="5">
        <v>0.97499999999999998</v>
      </c>
      <c r="U36" s="5">
        <v>0.99199999999999999</v>
      </c>
      <c r="V36" s="5">
        <v>1.018</v>
      </c>
      <c r="W36" s="5">
        <v>1.0629999999999999</v>
      </c>
      <c r="X36" s="5">
        <v>1.0820000000000001</v>
      </c>
      <c r="Y36" s="5">
        <v>1.0680000000000001</v>
      </c>
      <c r="Z36" s="5">
        <v>1.0620000000000001</v>
      </c>
      <c r="AA36" s="5">
        <v>1.03</v>
      </c>
      <c r="AB36" s="5">
        <v>1.0509999999999999</v>
      </c>
      <c r="AC36" s="5">
        <v>1.1060000000000001</v>
      </c>
      <c r="AD36" s="5">
        <v>29.454000000000001</v>
      </c>
    </row>
    <row r="37" spans="1:30" x14ac:dyDescent="0.3">
      <c r="A37" s="12"/>
      <c r="B37" s="12"/>
      <c r="C37" s="12"/>
      <c r="D37" s="1">
        <v>34</v>
      </c>
      <c r="E37" s="5">
        <v>0.22800000000000001</v>
      </c>
      <c r="F37" s="5">
        <v>0.33</v>
      </c>
      <c r="G37" s="5">
        <v>0.40200000000000002</v>
      </c>
      <c r="H37" s="5">
        <v>0.47799999999999998</v>
      </c>
      <c r="I37" s="5">
        <v>0.53200000000000003</v>
      </c>
      <c r="J37" s="5">
        <v>0.57999999999999996</v>
      </c>
      <c r="K37" s="5">
        <v>0.626</v>
      </c>
      <c r="L37" s="5">
        <v>0.67700000000000005</v>
      </c>
      <c r="M37" s="5">
        <v>0.72299999999999998</v>
      </c>
      <c r="N37" s="5">
        <v>0.76300000000000001</v>
      </c>
      <c r="O37" s="5">
        <v>0.78700000000000003</v>
      </c>
      <c r="P37" s="5">
        <v>0.82199999999999995</v>
      </c>
      <c r="Q37" s="5">
        <v>0.86199999999999999</v>
      </c>
      <c r="R37" s="5">
        <v>0.90300000000000002</v>
      </c>
      <c r="S37" s="5">
        <v>0.93600000000000005</v>
      </c>
      <c r="T37" s="5">
        <v>0.96299999999999997</v>
      </c>
      <c r="U37" s="5">
        <v>0.97799999999999998</v>
      </c>
      <c r="V37" s="5">
        <v>0.98</v>
      </c>
      <c r="W37" s="5">
        <v>1.03</v>
      </c>
      <c r="X37" s="5">
        <v>1.044</v>
      </c>
      <c r="Y37" s="5">
        <v>1.06</v>
      </c>
      <c r="Z37" s="5">
        <v>1.083</v>
      </c>
      <c r="AA37" s="5">
        <v>1.0900000000000001</v>
      </c>
      <c r="AB37" s="5">
        <v>1.091</v>
      </c>
      <c r="AC37" s="5">
        <v>1.0940000000000001</v>
      </c>
      <c r="AD37" s="5">
        <v>29.201000000000001</v>
      </c>
    </row>
    <row r="38" spans="1:30" x14ac:dyDescent="0.3">
      <c r="A38" s="12"/>
      <c r="B38" s="12"/>
      <c r="C38" s="12"/>
      <c r="D38" s="1">
        <v>35</v>
      </c>
      <c r="E38" s="5">
        <v>0.23799999999999999</v>
      </c>
      <c r="F38" s="5">
        <v>0.34300000000000003</v>
      </c>
      <c r="G38" s="5">
        <v>0.41699999999999998</v>
      </c>
      <c r="H38" s="5">
        <v>0.48099999999999998</v>
      </c>
      <c r="I38" s="5">
        <v>0.53600000000000003</v>
      </c>
      <c r="J38" s="5">
        <v>0.58699999999999997</v>
      </c>
      <c r="K38" s="5">
        <v>0.63200000000000001</v>
      </c>
      <c r="L38" s="5">
        <v>0.66800000000000004</v>
      </c>
      <c r="M38" s="5">
        <v>0.71599999999999997</v>
      </c>
      <c r="N38" s="5">
        <v>0.75600000000000001</v>
      </c>
      <c r="O38" s="5">
        <v>0.78800000000000003</v>
      </c>
      <c r="P38" s="5">
        <v>0.81799999999999995</v>
      </c>
      <c r="Q38" s="5">
        <v>0.85</v>
      </c>
      <c r="R38" s="5">
        <v>0.88700000000000001</v>
      </c>
      <c r="S38" s="5">
        <v>0.90400000000000003</v>
      </c>
      <c r="T38" s="5">
        <v>0.93400000000000005</v>
      </c>
      <c r="U38" s="5">
        <v>0.96799999999999997</v>
      </c>
      <c r="V38" s="5">
        <v>0.98199999999999998</v>
      </c>
      <c r="W38" s="5">
        <v>0.99399999999999999</v>
      </c>
      <c r="X38" s="5">
        <v>1.0049999999999999</v>
      </c>
      <c r="Y38" s="5">
        <v>1.0069999999999999</v>
      </c>
      <c r="Z38" s="5">
        <v>1.0089999999999999</v>
      </c>
      <c r="AA38" s="5">
        <v>1.0149999999999999</v>
      </c>
      <c r="AB38" s="5">
        <v>1.024</v>
      </c>
      <c r="AC38" s="5">
        <v>1.02</v>
      </c>
      <c r="AD38" s="5">
        <v>29.318000000000001</v>
      </c>
    </row>
    <row r="39" spans="1:30" x14ac:dyDescent="0.3">
      <c r="A39" s="12"/>
      <c r="B39" s="12"/>
      <c r="C39" s="12"/>
      <c r="D39" s="1">
        <v>36</v>
      </c>
      <c r="E39" s="5">
        <v>0.23799999999999999</v>
      </c>
      <c r="F39" s="5">
        <v>0.315</v>
      </c>
      <c r="G39" s="5">
        <v>0.39600000000000002</v>
      </c>
      <c r="H39" s="5">
        <v>0.47199999999999998</v>
      </c>
      <c r="I39" s="5">
        <v>0.53800000000000003</v>
      </c>
      <c r="J39" s="5">
        <v>0.58599999999999997</v>
      </c>
      <c r="K39" s="5">
        <v>0.63400000000000001</v>
      </c>
      <c r="L39" s="5">
        <v>0.68</v>
      </c>
      <c r="M39" s="5">
        <v>0.72699999999999998</v>
      </c>
      <c r="N39" s="5">
        <v>0.76700000000000002</v>
      </c>
      <c r="O39" s="5">
        <v>0.80200000000000005</v>
      </c>
      <c r="P39" s="5">
        <v>0.83699999999999997</v>
      </c>
      <c r="Q39" s="5">
        <v>0.874</v>
      </c>
      <c r="R39" s="5">
        <v>0.90800000000000003</v>
      </c>
      <c r="S39" s="5">
        <v>0.94799999999999995</v>
      </c>
      <c r="T39" s="5">
        <v>0.99299999999999999</v>
      </c>
      <c r="U39" s="5">
        <v>1.0169999999999999</v>
      </c>
      <c r="V39" s="5">
        <v>1.0449999999999999</v>
      </c>
      <c r="W39" s="5">
        <v>1.0640000000000001</v>
      </c>
      <c r="X39" s="5">
        <v>0.99199999999999999</v>
      </c>
      <c r="Y39" s="5">
        <v>1.026</v>
      </c>
      <c r="Z39" s="5">
        <v>1.0669999999999999</v>
      </c>
      <c r="AA39" s="5">
        <v>1.0529999999999999</v>
      </c>
      <c r="AB39" s="5">
        <v>1.0609999999999999</v>
      </c>
      <c r="AC39" s="5">
        <v>1.1100000000000001</v>
      </c>
      <c r="AD39" s="5">
        <v>29.283000000000001</v>
      </c>
    </row>
    <row r="40" spans="1:30" x14ac:dyDescent="0.3">
      <c r="A40" s="12"/>
      <c r="B40" s="12"/>
      <c r="C40" s="12"/>
      <c r="D40" s="1">
        <v>37</v>
      </c>
      <c r="E40" s="5">
        <v>0.26600000000000001</v>
      </c>
      <c r="F40" s="5">
        <v>0.32400000000000001</v>
      </c>
      <c r="G40" s="5">
        <v>0.40699999999999997</v>
      </c>
      <c r="H40" s="5">
        <v>0.48299999999999998</v>
      </c>
      <c r="I40" s="5">
        <v>0.53400000000000003</v>
      </c>
      <c r="J40" s="5">
        <v>0.58299999999999996</v>
      </c>
      <c r="K40" s="5">
        <v>0.63400000000000001</v>
      </c>
      <c r="L40" s="5">
        <v>0.68100000000000005</v>
      </c>
      <c r="M40" s="5">
        <v>0.73599999999999999</v>
      </c>
      <c r="N40" s="5">
        <v>0.77800000000000002</v>
      </c>
      <c r="O40" s="5">
        <v>0.82199999999999995</v>
      </c>
      <c r="P40" s="5">
        <v>0.86599999999999999</v>
      </c>
      <c r="Q40" s="5">
        <v>0.91300000000000003</v>
      </c>
      <c r="R40" s="5">
        <v>0.94499999999999995</v>
      </c>
      <c r="S40" s="5">
        <v>0.96699999999999997</v>
      </c>
      <c r="T40" s="5">
        <v>1</v>
      </c>
      <c r="U40" s="5">
        <v>1.056</v>
      </c>
      <c r="V40" s="5">
        <v>1.0669999999999999</v>
      </c>
      <c r="W40" s="5">
        <v>1.0669999999999999</v>
      </c>
      <c r="X40" s="5">
        <v>1</v>
      </c>
      <c r="Y40" s="5">
        <v>1.0149999999999999</v>
      </c>
      <c r="Z40" s="5">
        <v>1.099</v>
      </c>
      <c r="AA40" s="5">
        <v>1.139</v>
      </c>
      <c r="AB40" s="5">
        <v>1.139</v>
      </c>
      <c r="AC40" s="5">
        <v>1.1379999999999999</v>
      </c>
      <c r="AD40" s="5">
        <v>29.148</v>
      </c>
    </row>
    <row r="41" spans="1:30" x14ac:dyDescent="0.3">
      <c r="A41" s="12"/>
      <c r="B41" s="12"/>
      <c r="C41" s="12"/>
      <c r="D41" s="1">
        <v>38</v>
      </c>
      <c r="E41" s="5">
        <v>0.246</v>
      </c>
      <c r="F41" s="5">
        <v>0.34599999999999997</v>
      </c>
      <c r="G41" s="5">
        <v>0.42099999999999999</v>
      </c>
      <c r="H41" s="5">
        <v>0.49099999999999999</v>
      </c>
      <c r="I41" s="5">
        <v>0.55600000000000005</v>
      </c>
      <c r="J41" s="5">
        <v>0.59199999999999997</v>
      </c>
      <c r="K41" s="5">
        <v>0.63700000000000001</v>
      </c>
      <c r="L41" s="5">
        <v>0.68200000000000005</v>
      </c>
      <c r="M41" s="5">
        <v>0.72699999999999998</v>
      </c>
      <c r="N41" s="5">
        <v>0.77200000000000002</v>
      </c>
      <c r="O41" s="5">
        <v>0.81799999999999995</v>
      </c>
      <c r="P41" s="5">
        <v>0.84699999999999998</v>
      </c>
      <c r="Q41" s="5">
        <v>0.873</v>
      </c>
      <c r="R41" s="5">
        <v>0.91500000000000004</v>
      </c>
      <c r="S41" s="5">
        <v>0.94299999999999995</v>
      </c>
      <c r="T41" s="5">
        <v>0.98399999999999999</v>
      </c>
      <c r="U41" s="5">
        <v>1.0189999999999999</v>
      </c>
      <c r="V41" s="5">
        <v>1.0329999999999999</v>
      </c>
      <c r="W41" s="5">
        <v>1.0369999999999999</v>
      </c>
      <c r="X41" s="5">
        <v>1.083</v>
      </c>
      <c r="Y41" s="5">
        <v>1.097</v>
      </c>
      <c r="Z41" s="5">
        <v>1.1140000000000001</v>
      </c>
      <c r="AA41" s="5">
        <v>1.1439999999999999</v>
      </c>
      <c r="AB41" s="5">
        <v>1.1419999999999999</v>
      </c>
      <c r="AC41" s="5">
        <v>1.121</v>
      </c>
      <c r="AD41" s="5">
        <v>29.129000000000001</v>
      </c>
    </row>
    <row r="42" spans="1:30" x14ac:dyDescent="0.3">
      <c r="A42" s="12"/>
      <c r="B42" s="12"/>
      <c r="C42" s="12"/>
      <c r="D42" s="1">
        <v>39</v>
      </c>
      <c r="E42" s="5">
        <v>0.23599999999999999</v>
      </c>
      <c r="F42" s="5">
        <v>0.314</v>
      </c>
      <c r="G42" s="5">
        <v>0.39400000000000002</v>
      </c>
      <c r="H42" s="5">
        <v>0.47299999999999998</v>
      </c>
      <c r="I42" s="5">
        <v>0.52400000000000002</v>
      </c>
      <c r="J42" s="5">
        <v>0.57999999999999996</v>
      </c>
      <c r="K42" s="5">
        <v>0.627</v>
      </c>
      <c r="L42" s="5">
        <v>0.67700000000000005</v>
      </c>
      <c r="M42" s="5">
        <v>0.72</v>
      </c>
      <c r="N42" s="5">
        <v>0.76400000000000001</v>
      </c>
      <c r="O42" s="5">
        <v>0.78500000000000003</v>
      </c>
      <c r="P42" s="5">
        <v>0.83599999999999997</v>
      </c>
      <c r="Q42" s="5">
        <v>0.85599999999999998</v>
      </c>
      <c r="R42" s="5">
        <v>0.89600000000000002</v>
      </c>
      <c r="S42" s="5">
        <v>0.92900000000000005</v>
      </c>
      <c r="T42" s="5">
        <v>0.96399999999999997</v>
      </c>
      <c r="U42" s="5">
        <v>0.97399999999999998</v>
      </c>
      <c r="V42" s="5">
        <v>0.97899999999999998</v>
      </c>
      <c r="W42" s="5">
        <v>1.0069999999999999</v>
      </c>
      <c r="X42" s="5">
        <v>1.002</v>
      </c>
      <c r="Y42" s="5">
        <v>1.004</v>
      </c>
      <c r="Z42" s="5">
        <v>1.0149999999999999</v>
      </c>
      <c r="AA42" s="5">
        <v>1.0369999999999999</v>
      </c>
      <c r="AB42" s="5">
        <v>1.0329999999999999</v>
      </c>
      <c r="AC42" s="5">
        <v>1.1000000000000001</v>
      </c>
      <c r="AD42" s="5">
        <v>29.457999999999998</v>
      </c>
    </row>
    <row r="43" spans="1:30" x14ac:dyDescent="0.3">
      <c r="A43" s="12"/>
      <c r="B43" s="12"/>
      <c r="C43" s="12"/>
      <c r="D43" s="1">
        <v>40</v>
      </c>
      <c r="E43" s="5">
        <v>0.23300000000000001</v>
      </c>
      <c r="F43" s="5">
        <v>0.33200000000000002</v>
      </c>
      <c r="G43" s="5">
        <v>0.41099999999999998</v>
      </c>
      <c r="H43" s="5">
        <v>0.48199999999999998</v>
      </c>
      <c r="I43" s="5">
        <v>0.53800000000000003</v>
      </c>
      <c r="J43" s="5">
        <v>0.57699999999999996</v>
      </c>
      <c r="K43" s="5">
        <v>0.623</v>
      </c>
      <c r="L43" s="5">
        <v>0.66500000000000004</v>
      </c>
      <c r="M43" s="5">
        <v>0.71399999999999997</v>
      </c>
      <c r="N43" s="5">
        <v>0.76200000000000001</v>
      </c>
      <c r="O43" s="5">
        <v>0.79600000000000004</v>
      </c>
      <c r="P43" s="5">
        <v>0.83499999999999996</v>
      </c>
      <c r="Q43" s="5">
        <v>0.876</v>
      </c>
      <c r="R43" s="5">
        <v>0.89900000000000002</v>
      </c>
      <c r="S43" s="5">
        <v>0.93899999999999995</v>
      </c>
      <c r="T43" s="5">
        <v>0.96599999999999997</v>
      </c>
      <c r="U43" s="5">
        <v>1.0009999999999999</v>
      </c>
      <c r="V43" s="5">
        <v>1.0289999999999999</v>
      </c>
      <c r="W43" s="5">
        <v>1.044</v>
      </c>
      <c r="X43" s="5">
        <v>1.0289999999999999</v>
      </c>
      <c r="Y43" s="5">
        <v>1.0069999999999999</v>
      </c>
      <c r="Z43" s="5">
        <v>0.998</v>
      </c>
      <c r="AA43" s="5">
        <v>0.998</v>
      </c>
      <c r="AB43" s="5">
        <v>1.054</v>
      </c>
      <c r="AC43" s="5">
        <v>1.1000000000000001</v>
      </c>
      <c r="AD43" s="5">
        <v>29.148</v>
      </c>
    </row>
    <row r="44" spans="1:30" x14ac:dyDescent="0.3">
      <c r="A44" s="12"/>
      <c r="B44" s="12"/>
      <c r="C44" s="12"/>
      <c r="D44" s="1">
        <v>41</v>
      </c>
      <c r="E44" s="5">
        <v>0.29499999999999998</v>
      </c>
      <c r="F44" s="5">
        <v>0.35699999999999998</v>
      </c>
      <c r="G44" s="5">
        <v>0.433</v>
      </c>
      <c r="H44" s="5">
        <v>0.51300000000000001</v>
      </c>
      <c r="I44" s="5">
        <v>0.57699999999999996</v>
      </c>
      <c r="J44" s="5">
        <v>0.63</v>
      </c>
      <c r="K44" s="5">
        <v>0.66900000000000004</v>
      </c>
      <c r="L44" s="5">
        <v>0.71099999999999997</v>
      </c>
      <c r="M44" s="5">
        <v>0.75700000000000001</v>
      </c>
      <c r="N44" s="5">
        <v>0.78600000000000003</v>
      </c>
      <c r="O44" s="5">
        <v>0.81499999999999995</v>
      </c>
      <c r="P44" s="5">
        <v>0.84</v>
      </c>
      <c r="Q44" s="5">
        <v>0.874</v>
      </c>
      <c r="R44" s="5">
        <v>0.91100000000000003</v>
      </c>
      <c r="S44" s="5">
        <v>0.93799999999999994</v>
      </c>
      <c r="T44" s="5">
        <v>0.97199999999999998</v>
      </c>
      <c r="U44" s="5">
        <v>0.97699999999999998</v>
      </c>
      <c r="V44" s="5">
        <v>0.995</v>
      </c>
      <c r="W44" s="5">
        <v>1.038</v>
      </c>
      <c r="X44" s="5">
        <v>1.05</v>
      </c>
      <c r="Y44" s="5">
        <v>1.0549999999999999</v>
      </c>
      <c r="Z44" s="5">
        <v>1.034</v>
      </c>
      <c r="AA44" s="5">
        <v>1.038</v>
      </c>
      <c r="AB44" s="5">
        <v>1.0449999999999999</v>
      </c>
      <c r="AC44" s="5">
        <v>1.048</v>
      </c>
      <c r="AD44" s="5">
        <v>28.712</v>
      </c>
    </row>
    <row r="45" spans="1:30" x14ac:dyDescent="0.3">
      <c r="A45" s="12"/>
      <c r="B45" s="12"/>
      <c r="C45" s="12"/>
      <c r="D45" s="1">
        <v>42</v>
      </c>
      <c r="E45" s="5">
        <v>0.25800000000000001</v>
      </c>
      <c r="F45" s="5">
        <v>0.314</v>
      </c>
      <c r="G45" s="5">
        <v>0.4</v>
      </c>
      <c r="H45" s="5">
        <v>0.47699999999999998</v>
      </c>
      <c r="I45" s="5">
        <v>0.52500000000000002</v>
      </c>
      <c r="J45" s="5">
        <v>0.57399999999999995</v>
      </c>
      <c r="K45" s="5">
        <v>0.626</v>
      </c>
      <c r="L45" s="5">
        <v>0.67400000000000004</v>
      </c>
      <c r="M45" s="5">
        <v>0.71</v>
      </c>
      <c r="N45" s="5">
        <v>0.76300000000000001</v>
      </c>
      <c r="O45" s="5">
        <v>0.79300000000000004</v>
      </c>
      <c r="P45" s="5">
        <v>0.82699999999999996</v>
      </c>
      <c r="Q45" s="5">
        <v>0.84699999999999998</v>
      </c>
      <c r="R45" s="5">
        <v>0.90400000000000003</v>
      </c>
      <c r="S45" s="5">
        <v>0.91900000000000004</v>
      </c>
      <c r="T45" s="5">
        <v>0.94199999999999995</v>
      </c>
      <c r="U45" s="5">
        <v>0.97199999999999998</v>
      </c>
      <c r="V45" s="5">
        <v>1.0029999999999999</v>
      </c>
      <c r="W45" s="5">
        <v>1.004</v>
      </c>
      <c r="X45" s="5">
        <v>1.02</v>
      </c>
      <c r="Y45" s="5">
        <v>1.04</v>
      </c>
      <c r="Z45" s="5">
        <v>1.0349999999999999</v>
      </c>
      <c r="AA45" s="5">
        <v>1.028</v>
      </c>
      <c r="AB45" s="5">
        <v>1.026</v>
      </c>
      <c r="AC45" s="5">
        <v>1.0669999999999999</v>
      </c>
      <c r="AD45" s="5">
        <v>29.431000000000001</v>
      </c>
    </row>
    <row r="46" spans="1:30" x14ac:dyDescent="0.3">
      <c r="A46" s="12"/>
      <c r="B46" s="12"/>
      <c r="C46" s="12"/>
      <c r="D46" s="1">
        <v>43</v>
      </c>
      <c r="E46" s="5">
        <v>0.22700000000000001</v>
      </c>
      <c r="F46" s="5">
        <v>0.309</v>
      </c>
      <c r="G46" s="5">
        <v>0.39300000000000002</v>
      </c>
      <c r="H46" s="5">
        <v>0.46800000000000003</v>
      </c>
      <c r="I46" s="5">
        <v>0.52700000000000002</v>
      </c>
      <c r="J46" s="5">
        <v>0.57599999999999996</v>
      </c>
      <c r="K46" s="5">
        <v>0.622</v>
      </c>
      <c r="L46" s="5">
        <v>0.66900000000000004</v>
      </c>
      <c r="M46" s="5">
        <v>0.752</v>
      </c>
      <c r="N46" s="5">
        <v>0.80100000000000005</v>
      </c>
      <c r="O46" s="5">
        <v>0.86199999999999999</v>
      </c>
      <c r="P46" s="5">
        <v>0.85699999999999998</v>
      </c>
      <c r="Q46" s="5">
        <v>0.88500000000000001</v>
      </c>
      <c r="R46" s="5">
        <v>0.91</v>
      </c>
      <c r="S46" s="5">
        <v>0.92500000000000004</v>
      </c>
      <c r="T46" s="5">
        <v>0.95199999999999996</v>
      </c>
      <c r="U46" s="5">
        <v>0.97499999999999998</v>
      </c>
      <c r="V46" s="5">
        <v>1.0049999999999999</v>
      </c>
      <c r="W46" s="5">
        <v>1.014</v>
      </c>
      <c r="X46" s="5">
        <v>1.0229999999999999</v>
      </c>
      <c r="Y46" s="5">
        <v>1.0740000000000001</v>
      </c>
      <c r="Z46" s="5">
        <v>1.0609999999999999</v>
      </c>
      <c r="AA46" s="5">
        <v>1.117</v>
      </c>
      <c r="AB46" s="5">
        <v>1.1579999999999999</v>
      </c>
      <c r="AC46" s="5">
        <v>1.1419999999999999</v>
      </c>
      <c r="AD46" s="5">
        <v>29.395</v>
      </c>
    </row>
    <row r="47" spans="1:30" x14ac:dyDescent="0.3">
      <c r="A47" s="12"/>
      <c r="B47" s="12"/>
      <c r="C47" s="12"/>
      <c r="D47" s="1">
        <v>44</v>
      </c>
      <c r="E47" s="5">
        <v>0.24099999999999999</v>
      </c>
      <c r="F47" s="5">
        <v>0.32</v>
      </c>
      <c r="G47" s="5">
        <v>0.40300000000000002</v>
      </c>
      <c r="H47" s="5">
        <v>0.47599999999999998</v>
      </c>
      <c r="I47" s="5">
        <v>0.54300000000000004</v>
      </c>
      <c r="J47" s="5">
        <v>0.60499999999999998</v>
      </c>
      <c r="K47" s="5">
        <v>0.65700000000000003</v>
      </c>
      <c r="L47" s="5">
        <v>0.69499999999999995</v>
      </c>
      <c r="M47" s="5">
        <v>0.73499999999999999</v>
      </c>
      <c r="N47" s="5">
        <v>0.77800000000000002</v>
      </c>
      <c r="O47" s="5">
        <v>0.81399999999999995</v>
      </c>
      <c r="P47" s="5">
        <v>0.85099999999999998</v>
      </c>
      <c r="Q47" s="5">
        <v>0.88</v>
      </c>
      <c r="R47" s="5">
        <v>0.91400000000000003</v>
      </c>
      <c r="S47" s="5">
        <v>0.94199999999999995</v>
      </c>
      <c r="T47" s="5">
        <v>0.97099999999999997</v>
      </c>
      <c r="U47" s="5">
        <v>1.006</v>
      </c>
      <c r="V47" s="5">
        <v>1.0389999999999999</v>
      </c>
      <c r="W47" s="5">
        <v>1.0469999999999999</v>
      </c>
      <c r="X47" s="5">
        <v>1.0429999999999999</v>
      </c>
      <c r="Y47" s="5">
        <v>1.08</v>
      </c>
      <c r="Z47" s="5">
        <v>1.0840000000000001</v>
      </c>
      <c r="AA47" s="5">
        <v>1.099</v>
      </c>
      <c r="AB47" s="5">
        <v>1.121</v>
      </c>
      <c r="AC47" s="5">
        <v>1.1220000000000001</v>
      </c>
      <c r="AD47" s="5">
        <v>29.334</v>
      </c>
    </row>
    <row r="48" spans="1:30" x14ac:dyDescent="0.3">
      <c r="A48" s="12"/>
      <c r="B48" s="12"/>
      <c r="C48" s="12"/>
      <c r="D48" s="1">
        <v>45</v>
      </c>
      <c r="E48" s="5">
        <v>0.249</v>
      </c>
      <c r="F48" s="5">
        <v>0.33</v>
      </c>
      <c r="G48" s="5">
        <v>0.41199999999999998</v>
      </c>
      <c r="H48" s="5">
        <v>0.47899999999999998</v>
      </c>
      <c r="I48" s="5">
        <v>0.54400000000000004</v>
      </c>
      <c r="J48" s="5">
        <v>0.59</v>
      </c>
      <c r="K48" s="5">
        <v>0.64</v>
      </c>
      <c r="L48" s="5">
        <v>0.68</v>
      </c>
      <c r="M48" s="5">
        <v>0.72299999999999998</v>
      </c>
      <c r="N48" s="5">
        <v>0.76800000000000002</v>
      </c>
      <c r="O48" s="5">
        <v>0.81100000000000005</v>
      </c>
      <c r="P48" s="5">
        <v>0.84199999999999997</v>
      </c>
      <c r="Q48" s="5">
        <v>0.86599999999999999</v>
      </c>
      <c r="R48" s="5">
        <v>0.90700000000000003</v>
      </c>
      <c r="S48" s="5">
        <v>0.94099999999999995</v>
      </c>
      <c r="T48" s="5">
        <v>0.96399999999999997</v>
      </c>
      <c r="U48" s="5">
        <v>0.98399999999999999</v>
      </c>
      <c r="V48" s="5">
        <v>0.99199999999999999</v>
      </c>
      <c r="W48" s="5">
        <v>1.0129999999999999</v>
      </c>
      <c r="X48" s="5">
        <v>1.0169999999999999</v>
      </c>
      <c r="Y48" s="5">
        <v>1.0349999999999999</v>
      </c>
      <c r="Z48" s="5">
        <v>1.042</v>
      </c>
      <c r="AA48" s="5">
        <v>1.0669999999999999</v>
      </c>
      <c r="AB48" s="5">
        <v>1.1000000000000001</v>
      </c>
      <c r="AC48" s="5">
        <v>1.1100000000000001</v>
      </c>
      <c r="AD48" s="5">
        <v>29.638999999999999</v>
      </c>
    </row>
    <row r="49" spans="1:30" x14ac:dyDescent="0.3">
      <c r="A49" s="12"/>
      <c r="B49" s="12"/>
      <c r="C49" s="12"/>
      <c r="D49" s="1">
        <v>46</v>
      </c>
      <c r="E49" s="5">
        <v>0.23100000000000001</v>
      </c>
      <c r="F49" s="5">
        <v>0.31</v>
      </c>
      <c r="G49" s="5">
        <v>0.39800000000000002</v>
      </c>
      <c r="H49" s="5">
        <v>0.47299999999999998</v>
      </c>
      <c r="I49" s="5">
        <v>0.54200000000000004</v>
      </c>
      <c r="J49" s="5">
        <v>0.58799999999999997</v>
      </c>
      <c r="K49" s="5">
        <v>0.627</v>
      </c>
      <c r="L49" s="5">
        <v>0.67800000000000005</v>
      </c>
      <c r="M49" s="5">
        <v>0.73899999999999999</v>
      </c>
      <c r="N49" s="5">
        <v>0.80600000000000005</v>
      </c>
      <c r="O49" s="5">
        <v>0.87</v>
      </c>
      <c r="P49" s="5">
        <v>0.88500000000000001</v>
      </c>
      <c r="Q49" s="5">
        <v>0.89300000000000002</v>
      </c>
      <c r="R49" s="5">
        <v>0.9</v>
      </c>
      <c r="S49" s="5">
        <v>0.91600000000000004</v>
      </c>
      <c r="T49" s="5">
        <v>0.94499999999999995</v>
      </c>
      <c r="U49" s="5">
        <v>0.98299999999999998</v>
      </c>
      <c r="V49" s="5">
        <v>1.0169999999999999</v>
      </c>
      <c r="W49" s="5">
        <v>1.0409999999999999</v>
      </c>
      <c r="X49" s="5">
        <v>1.0740000000000001</v>
      </c>
      <c r="Y49" s="5">
        <v>1.069</v>
      </c>
      <c r="Z49" s="5">
        <v>1.046</v>
      </c>
      <c r="AA49" s="5">
        <v>1.099</v>
      </c>
      <c r="AB49" s="5">
        <v>1.1240000000000001</v>
      </c>
      <c r="AC49" s="5">
        <v>1.1160000000000001</v>
      </c>
      <c r="AD49" s="5">
        <v>29.166</v>
      </c>
    </row>
    <row r="50" spans="1:30" x14ac:dyDescent="0.3">
      <c r="A50" s="12"/>
      <c r="B50" s="12"/>
      <c r="C50" s="12"/>
      <c r="D50" s="1">
        <v>47</v>
      </c>
      <c r="E50" s="5">
        <v>0.25600000000000001</v>
      </c>
      <c r="F50" s="5">
        <v>0.33200000000000002</v>
      </c>
      <c r="G50" s="5">
        <v>0.41399999999999998</v>
      </c>
      <c r="H50" s="5">
        <v>0.48799999999999999</v>
      </c>
      <c r="I50" s="5">
        <v>0.54</v>
      </c>
      <c r="J50" s="5">
        <v>0.58399999999999996</v>
      </c>
      <c r="K50" s="5">
        <v>0.63200000000000001</v>
      </c>
      <c r="L50" s="5">
        <v>0.67900000000000005</v>
      </c>
      <c r="M50" s="5">
        <v>0.72099999999999997</v>
      </c>
      <c r="N50" s="5">
        <v>0.76</v>
      </c>
      <c r="O50" s="5">
        <v>0.79900000000000004</v>
      </c>
      <c r="P50" s="5">
        <v>0.83799999999999997</v>
      </c>
      <c r="Q50" s="5">
        <v>0.86299999999999999</v>
      </c>
      <c r="R50" s="5">
        <v>0.89100000000000001</v>
      </c>
      <c r="S50" s="5">
        <v>0.92100000000000004</v>
      </c>
      <c r="T50" s="5">
        <v>0.95599999999999996</v>
      </c>
      <c r="U50" s="5">
        <v>0.995</v>
      </c>
      <c r="V50" s="5">
        <v>0.99</v>
      </c>
      <c r="W50" s="5">
        <v>0.996</v>
      </c>
      <c r="X50" s="5">
        <v>1.0229999999999999</v>
      </c>
      <c r="Y50" s="5">
        <v>1.0429999999999999</v>
      </c>
      <c r="Z50" s="5">
        <v>1.0409999999999999</v>
      </c>
      <c r="AA50" s="5">
        <v>1.0349999999999999</v>
      </c>
      <c r="AB50" s="5">
        <v>1.0740000000000001</v>
      </c>
      <c r="AC50" s="5">
        <v>1.069</v>
      </c>
      <c r="AD50" s="5">
        <v>29.36</v>
      </c>
    </row>
    <row r="51" spans="1:30" x14ac:dyDescent="0.3">
      <c r="A51" s="12"/>
      <c r="B51" s="12"/>
      <c r="C51" s="12"/>
      <c r="D51" s="1">
        <v>48</v>
      </c>
      <c r="E51" s="5">
        <v>0.24399999999999999</v>
      </c>
      <c r="F51" s="5">
        <v>0.32</v>
      </c>
      <c r="G51" s="5">
        <v>0.40899999999999997</v>
      </c>
      <c r="H51" s="5">
        <v>0.47199999999999998</v>
      </c>
      <c r="I51" s="5">
        <v>0.53200000000000003</v>
      </c>
      <c r="J51" s="5">
        <v>0.57199999999999995</v>
      </c>
      <c r="K51" s="5">
        <v>0.63700000000000001</v>
      </c>
      <c r="L51" s="5">
        <v>0.67200000000000004</v>
      </c>
      <c r="M51" s="5">
        <v>0.72</v>
      </c>
      <c r="N51" s="5">
        <v>0.76800000000000002</v>
      </c>
      <c r="O51" s="5">
        <v>0.79900000000000004</v>
      </c>
      <c r="P51" s="5">
        <v>0.83099999999999996</v>
      </c>
      <c r="Q51" s="5">
        <v>0.85899999999999999</v>
      </c>
      <c r="R51" s="5">
        <v>0.90800000000000003</v>
      </c>
      <c r="S51" s="5">
        <v>0.93300000000000005</v>
      </c>
      <c r="T51" s="5">
        <v>0.96099999999999997</v>
      </c>
      <c r="U51" s="5">
        <v>1.004</v>
      </c>
      <c r="V51" s="5">
        <v>0.996</v>
      </c>
      <c r="W51" s="5">
        <v>1.0229999999999999</v>
      </c>
      <c r="X51" s="5">
        <v>0.98899999999999999</v>
      </c>
      <c r="Y51" s="5">
        <v>1.0449999999999999</v>
      </c>
      <c r="Z51" s="5">
        <v>1.0349999999999999</v>
      </c>
      <c r="AA51" s="5">
        <v>1.038</v>
      </c>
      <c r="AB51" s="5">
        <v>1.137</v>
      </c>
      <c r="AC51" s="5">
        <v>1.1359999999999999</v>
      </c>
      <c r="AD51" s="5">
        <v>29.321000000000002</v>
      </c>
    </row>
    <row r="52" spans="1:30" x14ac:dyDescent="0.3">
      <c r="A52" s="12"/>
      <c r="B52" s="12"/>
      <c r="C52" s="12"/>
      <c r="D52" s="1">
        <v>49</v>
      </c>
      <c r="E52" s="5">
        <v>0.224</v>
      </c>
      <c r="F52" s="5">
        <v>0.314</v>
      </c>
      <c r="G52" s="5">
        <v>0.39800000000000002</v>
      </c>
      <c r="H52" s="5">
        <v>0.46800000000000003</v>
      </c>
      <c r="I52" s="5">
        <v>0.52700000000000002</v>
      </c>
      <c r="J52" s="5">
        <v>0.57199999999999995</v>
      </c>
      <c r="K52" s="5">
        <v>0.624</v>
      </c>
      <c r="L52" s="5">
        <v>0.67</v>
      </c>
      <c r="M52" s="5">
        <v>0.71599999999999997</v>
      </c>
      <c r="N52" s="5">
        <v>0.75700000000000001</v>
      </c>
      <c r="O52" s="5">
        <v>0.79900000000000004</v>
      </c>
      <c r="P52" s="5">
        <v>0.82</v>
      </c>
      <c r="Q52" s="5">
        <v>0.85799999999999998</v>
      </c>
      <c r="R52" s="5">
        <v>0.88700000000000001</v>
      </c>
      <c r="S52" s="5">
        <v>0.92300000000000004</v>
      </c>
      <c r="T52" s="5">
        <v>0.96599999999999997</v>
      </c>
      <c r="U52" s="5">
        <v>1.0149999999999999</v>
      </c>
      <c r="V52" s="5">
        <v>1.032</v>
      </c>
      <c r="W52" s="5">
        <v>1.0329999999999999</v>
      </c>
      <c r="X52" s="5">
        <v>1.04</v>
      </c>
      <c r="Y52" s="5">
        <v>1.048</v>
      </c>
      <c r="Z52" s="5">
        <v>1.0840000000000001</v>
      </c>
      <c r="AA52" s="5">
        <v>1.081</v>
      </c>
      <c r="AB52" s="5">
        <v>1.093</v>
      </c>
      <c r="AC52" s="5">
        <v>1.1419999999999999</v>
      </c>
      <c r="AD52" s="5">
        <v>29.216999999999999</v>
      </c>
    </row>
    <row r="53" spans="1:30" x14ac:dyDescent="0.3">
      <c r="A53" s="12"/>
      <c r="B53" s="12"/>
      <c r="C53" s="12"/>
      <c r="D53" s="1">
        <v>50</v>
      </c>
      <c r="E53" s="5">
        <v>0.23400000000000001</v>
      </c>
      <c r="F53" s="5">
        <v>0.33200000000000002</v>
      </c>
      <c r="G53" s="5">
        <v>0.41099999999999998</v>
      </c>
      <c r="H53" s="5">
        <v>0.48199999999999998</v>
      </c>
      <c r="I53" s="5">
        <v>0.53800000000000003</v>
      </c>
      <c r="J53" s="5">
        <v>0.57699999999999996</v>
      </c>
      <c r="K53" s="5">
        <v>0.623</v>
      </c>
      <c r="L53" s="5">
        <v>0.66500000000000004</v>
      </c>
      <c r="M53" s="5">
        <v>0.71399999999999997</v>
      </c>
      <c r="N53" s="5">
        <v>0.76200000000000001</v>
      </c>
      <c r="O53" s="5">
        <v>0.79600000000000004</v>
      </c>
      <c r="P53" s="5">
        <v>0.83</v>
      </c>
      <c r="Q53" s="5">
        <v>0.876</v>
      </c>
      <c r="R53" s="5">
        <v>0.89900000000000002</v>
      </c>
      <c r="S53" s="5">
        <v>0.93899999999999995</v>
      </c>
      <c r="T53" s="5">
        <v>0.96599999999999997</v>
      </c>
      <c r="U53" s="5">
        <v>0.99199999999999999</v>
      </c>
      <c r="V53" s="5">
        <v>0.98399999999999999</v>
      </c>
      <c r="W53" s="5">
        <v>0.99299999999999999</v>
      </c>
      <c r="X53" s="5">
        <v>0.995</v>
      </c>
      <c r="Y53" s="5">
        <v>1.0069999999999999</v>
      </c>
      <c r="Z53" s="5">
        <v>0.998</v>
      </c>
      <c r="AA53" s="5">
        <v>0.998</v>
      </c>
      <c r="AB53" s="5">
        <v>1.0549999999999999</v>
      </c>
      <c r="AC53" s="5">
        <v>1.101</v>
      </c>
      <c r="AD53" s="5">
        <v>29.149000000000001</v>
      </c>
    </row>
    <row r="54" spans="1:30" x14ac:dyDescent="0.3">
      <c r="A54" s="12"/>
      <c r="B54" s="12"/>
      <c r="C54" s="12"/>
      <c r="D54" s="1">
        <v>51</v>
      </c>
      <c r="E54" s="5">
        <v>0.27800000000000002</v>
      </c>
      <c r="F54" s="5">
        <v>0.33300000000000002</v>
      </c>
      <c r="G54" s="5">
        <v>0.41699999999999998</v>
      </c>
      <c r="H54" s="5">
        <v>0.48599999999999999</v>
      </c>
      <c r="I54" s="5">
        <v>0.55200000000000005</v>
      </c>
      <c r="J54" s="5">
        <v>0.58899999999999997</v>
      </c>
      <c r="K54" s="5">
        <v>0.63600000000000001</v>
      </c>
      <c r="L54" s="5">
        <v>0.68700000000000006</v>
      </c>
      <c r="M54" s="5">
        <v>0.73099999999999998</v>
      </c>
      <c r="N54" s="5">
        <v>0.78800000000000003</v>
      </c>
      <c r="O54" s="5">
        <v>0.81899999999999995</v>
      </c>
      <c r="P54" s="5">
        <v>0.86499999999999999</v>
      </c>
      <c r="Q54" s="5">
        <v>0.90300000000000002</v>
      </c>
      <c r="R54" s="5">
        <v>0.93</v>
      </c>
      <c r="S54" s="5">
        <v>0.97</v>
      </c>
      <c r="T54" s="5">
        <v>0.95399999999999996</v>
      </c>
      <c r="U54" s="5">
        <v>1.0249999999999999</v>
      </c>
      <c r="V54" s="5">
        <v>1.026</v>
      </c>
      <c r="W54" s="5">
        <v>1.05</v>
      </c>
      <c r="X54" s="5">
        <v>1.046</v>
      </c>
      <c r="Y54" s="5">
        <v>1.069</v>
      </c>
      <c r="Z54" s="5">
        <v>1.08</v>
      </c>
      <c r="AA54" s="5">
        <v>1.0680000000000001</v>
      </c>
      <c r="AB54" s="5">
        <v>1.097</v>
      </c>
      <c r="AC54" s="5">
        <v>1.097</v>
      </c>
      <c r="AD54" s="5">
        <v>29.05</v>
      </c>
    </row>
    <row r="55" spans="1:30" x14ac:dyDescent="0.3">
      <c r="A55" s="12"/>
      <c r="B55" s="12"/>
      <c r="C55" s="12"/>
      <c r="D55" s="1">
        <v>52</v>
      </c>
      <c r="E55" s="5">
        <v>0.23799999999999999</v>
      </c>
      <c r="F55" s="5">
        <v>0.318</v>
      </c>
      <c r="G55" s="5">
        <v>0.39900000000000002</v>
      </c>
      <c r="H55" s="5">
        <v>0.47799999999999998</v>
      </c>
      <c r="I55" s="5">
        <v>0.54100000000000004</v>
      </c>
      <c r="J55" s="5">
        <v>0.59899999999999998</v>
      </c>
      <c r="K55" s="5">
        <v>0.64900000000000002</v>
      </c>
      <c r="L55" s="5">
        <v>0.69099999999999995</v>
      </c>
      <c r="M55" s="5">
        <v>0.74199999999999999</v>
      </c>
      <c r="N55" s="5">
        <v>0.78</v>
      </c>
      <c r="O55" s="5">
        <v>0.80800000000000005</v>
      </c>
      <c r="P55" s="5">
        <v>0.84499999999999997</v>
      </c>
      <c r="Q55" s="5">
        <v>0.873</v>
      </c>
      <c r="R55" s="5">
        <v>0.91900000000000004</v>
      </c>
      <c r="S55" s="5">
        <v>0.95599999999999996</v>
      </c>
      <c r="T55" s="5">
        <v>0.97799999999999998</v>
      </c>
      <c r="U55" s="5">
        <v>1.0129999999999999</v>
      </c>
      <c r="V55" s="5">
        <v>1.034</v>
      </c>
      <c r="W55" s="5">
        <v>1.0489999999999999</v>
      </c>
      <c r="X55" s="5">
        <v>1.0620000000000001</v>
      </c>
      <c r="Y55" s="5">
        <v>1.079</v>
      </c>
      <c r="Z55" s="5">
        <v>1.089</v>
      </c>
      <c r="AA55" s="5">
        <v>1.1100000000000001</v>
      </c>
      <c r="AB55" s="5">
        <v>1.1040000000000001</v>
      </c>
      <c r="AC55" s="5">
        <v>1.151</v>
      </c>
      <c r="AD55" s="5">
        <v>29.155000000000001</v>
      </c>
    </row>
    <row r="56" spans="1:30" x14ac:dyDescent="0.3">
      <c r="A56" s="12"/>
      <c r="B56" s="12"/>
      <c r="C56" s="12"/>
      <c r="D56" s="1">
        <v>53</v>
      </c>
      <c r="E56" s="5">
        <v>0.24199999999999999</v>
      </c>
      <c r="F56" s="5">
        <v>0.33600000000000002</v>
      </c>
      <c r="G56" s="5">
        <v>0.40200000000000002</v>
      </c>
      <c r="H56" s="5">
        <v>0.47699999999999998</v>
      </c>
      <c r="I56" s="5">
        <v>0.53700000000000003</v>
      </c>
      <c r="J56" s="5">
        <v>0.57999999999999996</v>
      </c>
      <c r="K56" s="5">
        <v>0.62</v>
      </c>
      <c r="L56" s="5">
        <v>0.66500000000000004</v>
      </c>
      <c r="M56" s="5">
        <v>0.71299999999999997</v>
      </c>
      <c r="N56" s="5">
        <v>0.75800000000000001</v>
      </c>
      <c r="O56" s="5">
        <v>0.79800000000000004</v>
      </c>
      <c r="P56" s="5">
        <v>0.83099999999999996</v>
      </c>
      <c r="Q56" s="5">
        <v>0.86299999999999999</v>
      </c>
      <c r="R56" s="5">
        <v>0.89400000000000002</v>
      </c>
      <c r="S56" s="5">
        <v>0.91200000000000003</v>
      </c>
      <c r="T56" s="5">
        <v>0.96899999999999997</v>
      </c>
      <c r="U56" s="5">
        <v>0.99199999999999999</v>
      </c>
      <c r="V56" s="5">
        <v>0.97699999999999998</v>
      </c>
      <c r="W56" s="5">
        <v>1.0089999999999999</v>
      </c>
      <c r="X56" s="5">
        <v>1.0109999999999999</v>
      </c>
      <c r="Y56" s="5">
        <v>1.069</v>
      </c>
      <c r="Z56" s="5">
        <v>1.054</v>
      </c>
      <c r="AA56" s="5">
        <v>1.0760000000000001</v>
      </c>
      <c r="AB56" s="5">
        <v>1.046</v>
      </c>
      <c r="AC56" s="5">
        <v>1.054</v>
      </c>
      <c r="AD56" s="5">
        <v>29.521000000000001</v>
      </c>
    </row>
    <row r="57" spans="1:30" x14ac:dyDescent="0.3">
      <c r="A57" s="12"/>
      <c r="B57" s="12"/>
      <c r="C57" s="12"/>
      <c r="D57" s="1">
        <v>54</v>
      </c>
      <c r="E57" s="5">
        <v>0.23400000000000001</v>
      </c>
      <c r="F57" s="5">
        <v>0.32</v>
      </c>
      <c r="G57" s="5">
        <v>0.40400000000000003</v>
      </c>
      <c r="H57" s="5">
        <v>0.48</v>
      </c>
      <c r="I57" s="5">
        <v>0.54300000000000004</v>
      </c>
      <c r="J57" s="5">
        <v>0.59199999999999997</v>
      </c>
      <c r="K57" s="5">
        <v>0.64600000000000002</v>
      </c>
      <c r="L57" s="5">
        <v>0.68100000000000005</v>
      </c>
      <c r="M57" s="5">
        <v>0.72399999999999998</v>
      </c>
      <c r="N57" s="5">
        <v>0.77700000000000002</v>
      </c>
      <c r="O57" s="5">
        <v>0.81499999999999995</v>
      </c>
      <c r="P57" s="5">
        <v>0.84599999999999997</v>
      </c>
      <c r="Q57" s="5">
        <v>0.85899999999999999</v>
      </c>
      <c r="R57" s="5">
        <v>0.90100000000000002</v>
      </c>
      <c r="S57" s="5">
        <v>0.93600000000000005</v>
      </c>
      <c r="T57" s="5">
        <v>0.95499999999999996</v>
      </c>
      <c r="U57" s="5">
        <v>0.98699999999999999</v>
      </c>
      <c r="V57" s="5">
        <v>1.004</v>
      </c>
      <c r="W57" s="5">
        <v>1.042</v>
      </c>
      <c r="X57" s="5">
        <v>1.0589999999999999</v>
      </c>
      <c r="Y57" s="5">
        <v>1.0680000000000001</v>
      </c>
      <c r="Z57" s="5">
        <v>1.1100000000000001</v>
      </c>
      <c r="AA57" s="5">
        <v>1.095</v>
      </c>
      <c r="AB57" s="5">
        <v>1.1259999999999999</v>
      </c>
      <c r="AC57" s="5">
        <v>1.1100000000000001</v>
      </c>
      <c r="AD57" s="5">
        <v>29.317</v>
      </c>
    </row>
    <row r="58" spans="1:30" x14ac:dyDescent="0.3">
      <c r="A58" s="12"/>
      <c r="B58" s="12"/>
      <c r="C58" s="12"/>
      <c r="D58" s="1">
        <v>55</v>
      </c>
      <c r="E58" s="5">
        <v>0.25600000000000001</v>
      </c>
      <c r="F58" s="5">
        <v>0.33900000000000002</v>
      </c>
      <c r="G58" s="5">
        <v>0.41699999999999998</v>
      </c>
      <c r="H58" s="5">
        <v>0.48299999999999998</v>
      </c>
      <c r="I58" s="5">
        <v>0.54400000000000004</v>
      </c>
      <c r="J58" s="5">
        <v>0.58199999999999996</v>
      </c>
      <c r="K58" s="5">
        <v>0.627</v>
      </c>
      <c r="L58" s="5">
        <v>0.67900000000000005</v>
      </c>
      <c r="M58" s="5">
        <v>0.72499999999999998</v>
      </c>
      <c r="N58" s="5">
        <v>0.77500000000000002</v>
      </c>
      <c r="O58" s="5">
        <v>0.81200000000000006</v>
      </c>
      <c r="P58" s="5">
        <v>0.84099999999999997</v>
      </c>
      <c r="Q58" s="5">
        <v>0.86599999999999999</v>
      </c>
      <c r="R58" s="5">
        <v>0.91</v>
      </c>
      <c r="S58" s="5">
        <v>0.94499999999999995</v>
      </c>
      <c r="T58" s="5">
        <v>0.99</v>
      </c>
      <c r="U58" s="5">
        <v>1.02</v>
      </c>
      <c r="V58" s="5">
        <v>1.0429999999999999</v>
      </c>
      <c r="W58" s="5">
        <v>1.0369999999999999</v>
      </c>
      <c r="X58" s="5">
        <v>1.046</v>
      </c>
      <c r="Y58" s="5">
        <v>1.075</v>
      </c>
      <c r="Z58" s="5">
        <v>1.1000000000000001</v>
      </c>
      <c r="AA58" s="5">
        <v>1.095</v>
      </c>
      <c r="AB58" s="5">
        <v>1.109</v>
      </c>
      <c r="AC58" s="5">
        <v>1.079</v>
      </c>
      <c r="AD58" s="5">
        <v>29.283000000000001</v>
      </c>
    </row>
    <row r="59" spans="1:30" x14ac:dyDescent="0.3">
      <c r="A59" s="12"/>
      <c r="B59" s="12"/>
      <c r="C59" s="12"/>
      <c r="D59" s="1">
        <v>56</v>
      </c>
      <c r="E59" s="5">
        <v>0.23799999999999999</v>
      </c>
      <c r="F59" s="5">
        <v>0.318</v>
      </c>
      <c r="G59" s="5">
        <v>0.39700000000000002</v>
      </c>
      <c r="H59" s="5">
        <v>0.48299999999999998</v>
      </c>
      <c r="I59" s="5">
        <v>0.53900000000000003</v>
      </c>
      <c r="J59" s="5">
        <v>0.59499999999999997</v>
      </c>
      <c r="K59" s="5">
        <v>0.64100000000000001</v>
      </c>
      <c r="L59" s="5">
        <v>0.68100000000000005</v>
      </c>
      <c r="M59" s="5">
        <v>0.73299999999999998</v>
      </c>
      <c r="N59" s="5">
        <v>0.76900000000000002</v>
      </c>
      <c r="O59" s="5">
        <v>0.81699999999999995</v>
      </c>
      <c r="P59" s="5">
        <v>0.85899999999999999</v>
      </c>
      <c r="Q59" s="5">
        <v>0.89100000000000001</v>
      </c>
      <c r="R59" s="5">
        <v>0.91600000000000004</v>
      </c>
      <c r="S59" s="5">
        <v>0.95599999999999996</v>
      </c>
      <c r="T59" s="5">
        <v>0.96899999999999997</v>
      </c>
      <c r="U59" s="5">
        <v>0.98499999999999999</v>
      </c>
      <c r="V59" s="5">
        <v>1.0229999999999999</v>
      </c>
      <c r="W59" s="5">
        <v>1.0589999999999999</v>
      </c>
      <c r="X59" s="5">
        <v>1.0649999999999999</v>
      </c>
      <c r="Y59" s="5">
        <v>1.0649999999999999</v>
      </c>
      <c r="Z59" s="5">
        <v>1.0740000000000001</v>
      </c>
      <c r="AA59" s="5">
        <v>1.087</v>
      </c>
      <c r="AB59" s="5">
        <v>1.1120000000000001</v>
      </c>
      <c r="AC59" s="5">
        <v>1.131</v>
      </c>
      <c r="AD59" s="5">
        <v>29.254999999999999</v>
      </c>
    </row>
    <row r="60" spans="1:30" x14ac:dyDescent="0.3">
      <c r="A60" s="12"/>
      <c r="B60" s="12"/>
      <c r="C60" s="12"/>
      <c r="D60" s="1">
        <v>57</v>
      </c>
      <c r="E60" s="5">
        <v>0.245</v>
      </c>
      <c r="F60" s="5">
        <v>0.33400000000000002</v>
      </c>
      <c r="G60" s="5">
        <v>0.40300000000000002</v>
      </c>
      <c r="H60" s="5">
        <v>0.47399999999999998</v>
      </c>
      <c r="I60" s="5">
        <v>0.53800000000000003</v>
      </c>
      <c r="J60" s="5">
        <v>0.57599999999999996</v>
      </c>
      <c r="K60" s="5">
        <v>0.61399999999999999</v>
      </c>
      <c r="L60" s="5">
        <v>0.66500000000000004</v>
      </c>
      <c r="M60" s="5">
        <v>0.71399999999999997</v>
      </c>
      <c r="N60" s="5">
        <v>0.75800000000000001</v>
      </c>
      <c r="O60" s="5">
        <v>0.8</v>
      </c>
      <c r="P60" s="5">
        <v>0.82899999999999996</v>
      </c>
      <c r="Q60" s="5">
        <v>0.873</v>
      </c>
      <c r="R60" s="5">
        <v>0.9</v>
      </c>
      <c r="S60" s="5">
        <v>0.94399999999999995</v>
      </c>
      <c r="T60" s="5">
        <v>0.98399999999999999</v>
      </c>
      <c r="U60" s="5">
        <v>1</v>
      </c>
      <c r="V60" s="5">
        <v>0.98499999999999999</v>
      </c>
      <c r="W60" s="5">
        <v>1.0129999999999999</v>
      </c>
      <c r="X60" s="5">
        <v>1.0129999999999999</v>
      </c>
      <c r="Y60" s="5">
        <v>1</v>
      </c>
      <c r="Z60" s="5">
        <v>1.0609999999999999</v>
      </c>
      <c r="AA60" s="5">
        <v>1.077</v>
      </c>
      <c r="AB60" s="5">
        <v>1.123</v>
      </c>
      <c r="AC60" s="5">
        <v>1.0940000000000001</v>
      </c>
      <c r="AD60" s="5">
        <v>29.417000000000002</v>
      </c>
    </row>
    <row r="61" spans="1:30" x14ac:dyDescent="0.3">
      <c r="A61" s="12"/>
      <c r="B61" s="12"/>
      <c r="C61" s="12"/>
      <c r="D61" s="1">
        <v>58</v>
      </c>
      <c r="E61" s="5">
        <v>0.23799999999999999</v>
      </c>
      <c r="F61" s="5">
        <v>0.313</v>
      </c>
      <c r="G61" s="5">
        <v>0.39200000000000002</v>
      </c>
      <c r="H61" s="5">
        <v>0.46800000000000003</v>
      </c>
      <c r="I61" s="5">
        <v>0.52900000000000003</v>
      </c>
      <c r="J61" s="5">
        <v>0.57699999999999996</v>
      </c>
      <c r="K61" s="5">
        <v>0.623</v>
      </c>
      <c r="L61" s="5">
        <v>0.66600000000000004</v>
      </c>
      <c r="M61" s="5">
        <v>0.72299999999999998</v>
      </c>
      <c r="N61" s="5">
        <v>0.76800000000000002</v>
      </c>
      <c r="O61" s="5">
        <v>0.80900000000000005</v>
      </c>
      <c r="P61" s="5">
        <v>0.84699999999999998</v>
      </c>
      <c r="Q61" s="5">
        <v>0.88300000000000001</v>
      </c>
      <c r="R61" s="5">
        <v>0.91100000000000003</v>
      </c>
      <c r="S61" s="5">
        <v>0.94799999999999995</v>
      </c>
      <c r="T61" s="5">
        <v>0.97299999999999998</v>
      </c>
      <c r="U61" s="5">
        <v>0.995</v>
      </c>
      <c r="V61" s="5">
        <v>0.97899999999999998</v>
      </c>
      <c r="W61" s="5">
        <v>1.0169999999999999</v>
      </c>
      <c r="X61" s="5">
        <v>1.0489999999999999</v>
      </c>
      <c r="Y61" s="5">
        <v>1.04</v>
      </c>
      <c r="Z61" s="5">
        <v>1.0229999999999999</v>
      </c>
      <c r="AA61" s="5">
        <v>1.0449999999999999</v>
      </c>
      <c r="AB61" s="5">
        <v>1.093</v>
      </c>
      <c r="AC61" s="5">
        <v>1.087</v>
      </c>
      <c r="AD61" s="5">
        <v>29.245000000000001</v>
      </c>
    </row>
    <row r="62" spans="1:30" x14ac:dyDescent="0.3">
      <c r="A62" s="12"/>
      <c r="B62" s="12"/>
      <c r="C62" s="12"/>
      <c r="D62" s="1">
        <v>59</v>
      </c>
      <c r="E62" s="5">
        <v>0.24</v>
      </c>
      <c r="F62" s="5">
        <v>0.33100000000000002</v>
      </c>
      <c r="G62" s="5">
        <v>0.40200000000000002</v>
      </c>
      <c r="H62" s="5">
        <v>0.46899999999999997</v>
      </c>
      <c r="I62" s="5">
        <v>0.52800000000000002</v>
      </c>
      <c r="J62" s="5">
        <v>0.57099999999999995</v>
      </c>
      <c r="K62" s="5">
        <v>0.61199999999999999</v>
      </c>
      <c r="L62" s="5">
        <v>0.66200000000000003</v>
      </c>
      <c r="M62" s="5">
        <v>0.70899999999999996</v>
      </c>
      <c r="N62" s="5">
        <v>0.755</v>
      </c>
      <c r="O62" s="5">
        <v>0.79</v>
      </c>
      <c r="P62" s="5">
        <v>0.82299999999999995</v>
      </c>
      <c r="Q62" s="5">
        <v>0.84899999999999998</v>
      </c>
      <c r="R62" s="5">
        <v>0.876</v>
      </c>
      <c r="S62" s="5">
        <v>0.91300000000000003</v>
      </c>
      <c r="T62" s="5">
        <v>0.95199999999999996</v>
      </c>
      <c r="U62" s="5">
        <v>0.98399999999999999</v>
      </c>
      <c r="V62" s="5">
        <v>1.0009999999999999</v>
      </c>
      <c r="W62" s="5">
        <v>1.0029999999999999</v>
      </c>
      <c r="X62" s="5">
        <v>1.0049999999999999</v>
      </c>
      <c r="Y62" s="5">
        <v>1.0269999999999999</v>
      </c>
      <c r="Z62" s="5">
        <v>1.0249999999999999</v>
      </c>
      <c r="AA62" s="5">
        <v>1.038</v>
      </c>
      <c r="AB62" s="5">
        <v>1.054</v>
      </c>
      <c r="AC62" s="5">
        <v>1.0629999999999999</v>
      </c>
      <c r="AD62" s="5">
        <v>29.527000000000001</v>
      </c>
    </row>
    <row r="63" spans="1:30" x14ac:dyDescent="0.3">
      <c r="A63" s="12"/>
      <c r="B63" s="12"/>
      <c r="C63" s="12"/>
      <c r="D63" s="1">
        <v>60</v>
      </c>
      <c r="E63" s="5">
        <v>0.25600000000000001</v>
      </c>
      <c r="F63" s="5">
        <v>0.33400000000000002</v>
      </c>
      <c r="G63" s="5">
        <v>0.41199999999999998</v>
      </c>
      <c r="H63" s="5">
        <v>0.48299999999999998</v>
      </c>
      <c r="I63" s="5">
        <v>0.53800000000000003</v>
      </c>
      <c r="J63" s="5">
        <v>0.57899999999999996</v>
      </c>
      <c r="K63" s="5">
        <v>0.63</v>
      </c>
      <c r="L63" s="5">
        <v>0.67600000000000005</v>
      </c>
      <c r="M63" s="5">
        <v>0.71399999999999997</v>
      </c>
      <c r="N63" s="5">
        <v>0.76200000000000001</v>
      </c>
      <c r="O63" s="5">
        <v>0.8</v>
      </c>
      <c r="P63" s="5">
        <v>0.83</v>
      </c>
      <c r="Q63" s="5">
        <v>0.86599999999999999</v>
      </c>
      <c r="R63" s="5">
        <v>0.90500000000000003</v>
      </c>
      <c r="S63" s="5">
        <v>0.93200000000000005</v>
      </c>
      <c r="T63" s="5">
        <v>0.96499999999999997</v>
      </c>
      <c r="U63" s="5">
        <v>0.98599999999999999</v>
      </c>
      <c r="V63" s="5">
        <v>1.018</v>
      </c>
      <c r="W63" s="5">
        <v>1.014</v>
      </c>
      <c r="X63" s="5">
        <v>0.99099999999999999</v>
      </c>
      <c r="Y63" s="5">
        <v>1.0269999999999999</v>
      </c>
      <c r="Z63" s="5">
        <v>1.073</v>
      </c>
      <c r="AA63" s="5">
        <v>1.054</v>
      </c>
      <c r="AB63" s="5">
        <v>1.085</v>
      </c>
      <c r="AC63" s="5">
        <v>1.0780000000000001</v>
      </c>
      <c r="AD63" s="5">
        <v>29.503</v>
      </c>
    </row>
    <row r="64" spans="1:30" x14ac:dyDescent="0.3">
      <c r="A64" s="12"/>
      <c r="B64" s="12"/>
      <c r="C64" s="12"/>
      <c r="D64" s="1">
        <v>61</v>
      </c>
      <c r="E64" s="5">
        <v>0.247</v>
      </c>
      <c r="F64" s="5">
        <v>0.33800000000000002</v>
      </c>
      <c r="G64" s="5">
        <v>0.40200000000000002</v>
      </c>
      <c r="H64" s="5">
        <v>0.47799999999999998</v>
      </c>
      <c r="I64" s="5">
        <v>0.54</v>
      </c>
      <c r="J64" s="5">
        <v>0.58399999999999996</v>
      </c>
      <c r="K64" s="5">
        <v>0.61799999999999999</v>
      </c>
      <c r="L64" s="5">
        <v>0.67300000000000004</v>
      </c>
      <c r="M64" s="5">
        <v>0.72299999999999998</v>
      </c>
      <c r="N64" s="5">
        <v>0.76700000000000002</v>
      </c>
      <c r="O64" s="5">
        <v>0.79800000000000004</v>
      </c>
      <c r="P64" s="5">
        <v>0.83099999999999996</v>
      </c>
      <c r="Q64" s="5">
        <v>0.86899999999999999</v>
      </c>
      <c r="R64" s="5">
        <v>0.88</v>
      </c>
      <c r="S64" s="5">
        <v>0.91500000000000004</v>
      </c>
      <c r="T64" s="5">
        <v>0.94199999999999995</v>
      </c>
      <c r="U64" s="5">
        <v>0.996</v>
      </c>
      <c r="V64" s="5">
        <v>1.01</v>
      </c>
      <c r="W64" s="5">
        <v>1.008</v>
      </c>
      <c r="X64" s="5">
        <v>1.038</v>
      </c>
      <c r="Y64" s="5">
        <v>1.079</v>
      </c>
      <c r="Z64" s="5">
        <v>1.0780000000000001</v>
      </c>
      <c r="AA64" s="5">
        <v>1.0760000000000001</v>
      </c>
      <c r="AB64" s="5">
        <v>1.075</v>
      </c>
      <c r="AC64" s="5">
        <v>1.1220000000000001</v>
      </c>
      <c r="AD64" s="5">
        <v>29.545999999999999</v>
      </c>
    </row>
    <row r="65" spans="1:30" x14ac:dyDescent="0.3">
      <c r="A65" s="12"/>
      <c r="B65" s="12"/>
      <c r="C65" s="12"/>
      <c r="D65" s="1">
        <v>62</v>
      </c>
      <c r="E65" s="5">
        <v>0.24299999999999999</v>
      </c>
      <c r="F65" s="5">
        <v>0.33400000000000002</v>
      </c>
      <c r="G65" s="5">
        <v>0.40200000000000002</v>
      </c>
      <c r="H65" s="5">
        <v>0.47499999999999998</v>
      </c>
      <c r="I65" s="5">
        <v>0.53100000000000003</v>
      </c>
      <c r="J65" s="5">
        <v>0.56699999999999995</v>
      </c>
      <c r="K65" s="5">
        <v>0.61099999999999999</v>
      </c>
      <c r="L65" s="5">
        <v>0.66300000000000003</v>
      </c>
      <c r="M65" s="5">
        <v>0.71</v>
      </c>
      <c r="N65" s="5">
        <v>0.753</v>
      </c>
      <c r="O65" s="5">
        <v>0.77800000000000002</v>
      </c>
      <c r="P65" s="5">
        <v>0.82099999999999995</v>
      </c>
      <c r="Q65" s="5">
        <v>0.85899999999999999</v>
      </c>
      <c r="R65" s="5">
        <v>0.89100000000000001</v>
      </c>
      <c r="S65" s="5">
        <v>0.92200000000000004</v>
      </c>
      <c r="T65" s="5">
        <v>0.94199999999999995</v>
      </c>
      <c r="U65" s="5">
        <v>0.998</v>
      </c>
      <c r="V65" s="5">
        <v>1.0329999999999999</v>
      </c>
      <c r="W65" s="5">
        <v>0.98699999999999999</v>
      </c>
      <c r="X65" s="5">
        <v>1.079</v>
      </c>
      <c r="Y65" s="5">
        <v>1.091</v>
      </c>
      <c r="Z65" s="5">
        <v>1.093</v>
      </c>
      <c r="AA65" s="5">
        <v>1.0840000000000001</v>
      </c>
      <c r="AB65" s="5">
        <v>1.079</v>
      </c>
      <c r="AC65" s="5">
        <v>1.101</v>
      </c>
      <c r="AD65" s="5">
        <v>29.231999999999999</v>
      </c>
    </row>
    <row r="66" spans="1:30" x14ac:dyDescent="0.3">
      <c r="A66" s="12"/>
      <c r="B66" s="12"/>
      <c r="C66" s="12"/>
      <c r="D66" s="1">
        <v>63</v>
      </c>
      <c r="E66" s="5">
        <v>0.23300000000000001</v>
      </c>
      <c r="F66" s="5">
        <v>0.32300000000000001</v>
      </c>
      <c r="G66" s="5">
        <v>0.39600000000000002</v>
      </c>
      <c r="H66" s="5">
        <v>0.46700000000000003</v>
      </c>
      <c r="I66" s="5">
        <v>0.53100000000000003</v>
      </c>
      <c r="J66" s="5">
        <v>0.57799999999999996</v>
      </c>
      <c r="K66" s="5">
        <v>0.625</v>
      </c>
      <c r="L66" s="5">
        <v>0.68100000000000005</v>
      </c>
      <c r="M66" s="5">
        <v>0.73299999999999998</v>
      </c>
      <c r="N66" s="5">
        <v>0.76700000000000002</v>
      </c>
      <c r="O66" s="5">
        <v>0.80100000000000005</v>
      </c>
      <c r="P66" s="5">
        <v>0.83199999999999996</v>
      </c>
      <c r="Q66" s="5">
        <v>0.86599999999999999</v>
      </c>
      <c r="R66" s="5">
        <v>0.89100000000000001</v>
      </c>
      <c r="S66" s="5">
        <v>0.92600000000000005</v>
      </c>
      <c r="T66" s="5">
        <v>0.95</v>
      </c>
      <c r="U66" s="5">
        <v>1.0029999999999999</v>
      </c>
      <c r="V66" s="5">
        <v>1.044</v>
      </c>
      <c r="W66" s="5">
        <v>1.069</v>
      </c>
      <c r="X66" s="5">
        <v>1.1020000000000001</v>
      </c>
      <c r="Y66" s="5">
        <v>1.0189999999999999</v>
      </c>
      <c r="Z66" s="5">
        <v>1.0169999999999999</v>
      </c>
      <c r="AA66" s="5">
        <v>1.1160000000000001</v>
      </c>
      <c r="AB66" s="5">
        <v>1.1100000000000001</v>
      </c>
      <c r="AC66" s="5">
        <v>1.1200000000000001</v>
      </c>
      <c r="AD66" s="5">
        <v>29.16</v>
      </c>
    </row>
    <row r="67" spans="1:30" x14ac:dyDescent="0.3">
      <c r="A67" s="12"/>
      <c r="B67" s="12"/>
      <c r="C67" s="12"/>
      <c r="D67" s="1">
        <v>64</v>
      </c>
      <c r="E67" s="5">
        <v>0.247</v>
      </c>
      <c r="F67" s="5">
        <v>0.33400000000000002</v>
      </c>
      <c r="G67" s="5">
        <v>0.39800000000000002</v>
      </c>
      <c r="H67" s="5">
        <v>0.48199999999999998</v>
      </c>
      <c r="I67" s="5">
        <v>0.53800000000000003</v>
      </c>
      <c r="J67" s="5">
        <v>0.58199999999999996</v>
      </c>
      <c r="K67" s="5">
        <v>0.623</v>
      </c>
      <c r="L67" s="5">
        <v>0.66200000000000003</v>
      </c>
      <c r="M67" s="5">
        <v>0.71099999999999997</v>
      </c>
      <c r="N67" s="5">
        <v>0.75900000000000001</v>
      </c>
      <c r="O67" s="5">
        <v>0.80100000000000005</v>
      </c>
      <c r="P67" s="5">
        <v>0.82299999999999995</v>
      </c>
      <c r="Q67" s="5">
        <v>0.86699999999999999</v>
      </c>
      <c r="R67" s="5">
        <v>0.88900000000000001</v>
      </c>
      <c r="S67" s="5">
        <v>0.92100000000000004</v>
      </c>
      <c r="T67" s="5">
        <v>0.96299999999999997</v>
      </c>
      <c r="U67" s="5">
        <v>1.014</v>
      </c>
      <c r="V67" s="5">
        <v>1.0449999999999999</v>
      </c>
      <c r="W67" s="5">
        <v>1.046</v>
      </c>
      <c r="X67" s="5">
        <v>0.998</v>
      </c>
      <c r="Y67" s="5">
        <v>1.0960000000000001</v>
      </c>
      <c r="Z67" s="5">
        <v>1.0669999999999999</v>
      </c>
      <c r="AA67" s="5">
        <v>1.1020000000000001</v>
      </c>
      <c r="AB67" s="5">
        <v>1.099</v>
      </c>
      <c r="AC67" s="5">
        <v>1.081</v>
      </c>
      <c r="AD67" s="5">
        <v>29.379000000000001</v>
      </c>
    </row>
    <row r="68" spans="1:30" x14ac:dyDescent="0.3">
      <c r="A68" s="12"/>
      <c r="B68" s="12"/>
      <c r="C68" s="12"/>
      <c r="D68" s="1">
        <v>65</v>
      </c>
      <c r="E68" s="5">
        <v>0.24399999999999999</v>
      </c>
      <c r="F68" s="5">
        <v>0.33600000000000002</v>
      </c>
      <c r="G68" s="5">
        <v>0.39900000000000002</v>
      </c>
      <c r="H68" s="5">
        <v>0.48099999999999998</v>
      </c>
      <c r="I68" s="5">
        <v>0.54300000000000004</v>
      </c>
      <c r="J68" s="5">
        <v>0.58399999999999996</v>
      </c>
      <c r="K68" s="5">
        <v>0.63</v>
      </c>
      <c r="L68" s="5">
        <v>0.67600000000000005</v>
      </c>
      <c r="M68" s="5">
        <v>0.72099999999999997</v>
      </c>
      <c r="N68" s="5">
        <v>0.76</v>
      </c>
      <c r="O68" s="5">
        <v>0.80300000000000005</v>
      </c>
      <c r="P68" s="5">
        <v>0.83699999999999997</v>
      </c>
      <c r="Q68" s="5">
        <v>0.874</v>
      </c>
      <c r="R68" s="5">
        <v>0.88100000000000001</v>
      </c>
      <c r="S68" s="5">
        <v>0.91700000000000004</v>
      </c>
      <c r="T68" s="5">
        <v>0.97599999999999998</v>
      </c>
      <c r="U68" s="5">
        <v>1.0129999999999999</v>
      </c>
      <c r="V68" s="5">
        <v>1.0089999999999999</v>
      </c>
      <c r="W68" s="5">
        <v>1.0109999999999999</v>
      </c>
      <c r="X68" s="5">
        <v>1.01</v>
      </c>
      <c r="Y68" s="5">
        <v>1.046</v>
      </c>
      <c r="Z68" s="5">
        <v>1.0589999999999999</v>
      </c>
      <c r="AA68" s="5">
        <v>1.083</v>
      </c>
      <c r="AB68" s="5">
        <v>1.0840000000000001</v>
      </c>
      <c r="AC68" s="5">
        <v>1.101</v>
      </c>
      <c r="AD68" s="5">
        <v>29.312999999999999</v>
      </c>
    </row>
    <row r="69" spans="1:30" x14ac:dyDescent="0.3">
      <c r="A69" s="12"/>
      <c r="B69" s="12"/>
      <c r="C69" s="12"/>
      <c r="D69" s="1">
        <v>66</v>
      </c>
      <c r="E69" s="5">
        <v>0.23599999999999999</v>
      </c>
      <c r="F69" s="5">
        <v>0.314</v>
      </c>
      <c r="G69" s="5">
        <v>0.38700000000000001</v>
      </c>
      <c r="H69" s="5">
        <v>0.46300000000000002</v>
      </c>
      <c r="I69" s="5">
        <v>0.52100000000000002</v>
      </c>
      <c r="J69" s="5">
        <v>0.56299999999999994</v>
      </c>
      <c r="K69" s="5">
        <v>0.60899999999999999</v>
      </c>
      <c r="L69" s="5">
        <v>0.65600000000000003</v>
      </c>
      <c r="M69" s="5">
        <v>0.70599999999999996</v>
      </c>
      <c r="N69" s="5">
        <v>0.75800000000000001</v>
      </c>
      <c r="O69" s="5">
        <v>0.78800000000000003</v>
      </c>
      <c r="P69" s="5">
        <v>0.83899999999999997</v>
      </c>
      <c r="Q69" s="5">
        <v>0.875</v>
      </c>
      <c r="R69" s="5">
        <v>0.90900000000000003</v>
      </c>
      <c r="S69" s="5">
        <v>0.95499999999999996</v>
      </c>
      <c r="T69" s="5">
        <v>0.97</v>
      </c>
      <c r="U69" s="5">
        <v>0.98099999999999998</v>
      </c>
      <c r="V69" s="5">
        <v>1.03</v>
      </c>
      <c r="W69" s="5">
        <v>1.0629999999999999</v>
      </c>
      <c r="X69" s="5">
        <v>1.0720000000000001</v>
      </c>
      <c r="Y69" s="5">
        <v>1.0409999999999999</v>
      </c>
      <c r="Z69" s="5">
        <v>1.0660000000000001</v>
      </c>
      <c r="AA69" s="5">
        <v>1.103</v>
      </c>
      <c r="AB69" s="5">
        <v>1.109</v>
      </c>
      <c r="AC69" s="5">
        <v>1.107</v>
      </c>
      <c r="AD69" s="5">
        <v>29.195</v>
      </c>
    </row>
    <row r="70" spans="1:30" x14ac:dyDescent="0.3">
      <c r="A70" s="12"/>
      <c r="B70" s="12"/>
      <c r="C70" s="12"/>
      <c r="D70" s="1">
        <v>67</v>
      </c>
      <c r="E70" s="5">
        <v>0.22800000000000001</v>
      </c>
      <c r="F70" s="5">
        <v>0.32400000000000001</v>
      </c>
      <c r="G70" s="5">
        <v>0.40300000000000002</v>
      </c>
      <c r="H70" s="5">
        <v>0.48099999999999998</v>
      </c>
      <c r="I70" s="5">
        <v>0.54600000000000004</v>
      </c>
      <c r="J70" s="5">
        <v>0.59799999999999998</v>
      </c>
      <c r="K70" s="5">
        <v>0.64800000000000002</v>
      </c>
      <c r="L70" s="5">
        <v>0.69799999999999995</v>
      </c>
      <c r="M70" s="5">
        <v>0.74299999999999999</v>
      </c>
      <c r="N70" s="5">
        <v>0.78400000000000003</v>
      </c>
      <c r="O70" s="5">
        <v>0.82899999999999996</v>
      </c>
      <c r="P70" s="5">
        <v>0.85399999999999998</v>
      </c>
      <c r="Q70" s="5">
        <v>0.88500000000000001</v>
      </c>
      <c r="R70" s="5">
        <v>0.91300000000000003</v>
      </c>
      <c r="S70" s="5">
        <v>0.92900000000000005</v>
      </c>
      <c r="T70" s="5">
        <v>0.96699999999999997</v>
      </c>
      <c r="U70" s="5">
        <v>1.0109999999999999</v>
      </c>
      <c r="V70" s="5">
        <v>0.99399999999999999</v>
      </c>
      <c r="W70" s="5">
        <v>0.995</v>
      </c>
      <c r="X70" s="5">
        <v>1.079</v>
      </c>
      <c r="Y70" s="5">
        <v>1</v>
      </c>
      <c r="Z70" s="5">
        <v>1.0369999999999999</v>
      </c>
      <c r="AA70" s="5">
        <v>1.107</v>
      </c>
      <c r="AB70" s="5">
        <v>1.099</v>
      </c>
      <c r="AC70" s="5">
        <v>1.117</v>
      </c>
      <c r="AD70" s="5">
        <v>29.151</v>
      </c>
    </row>
    <row r="71" spans="1:30" x14ac:dyDescent="0.3">
      <c r="A71" s="12"/>
      <c r="B71" s="12"/>
      <c r="C71" s="12"/>
      <c r="D71" s="1">
        <v>68</v>
      </c>
      <c r="E71" s="5">
        <v>0.24199999999999999</v>
      </c>
      <c r="F71" s="5">
        <v>0.32800000000000001</v>
      </c>
      <c r="G71" s="5">
        <v>0.40799999999999997</v>
      </c>
      <c r="H71" s="5">
        <v>0.48</v>
      </c>
      <c r="I71" s="5">
        <v>0.54600000000000004</v>
      </c>
      <c r="J71" s="5">
        <v>0.6</v>
      </c>
      <c r="K71" s="5">
        <v>0.66</v>
      </c>
      <c r="L71" s="5">
        <v>0.69399999999999995</v>
      </c>
      <c r="M71" s="5">
        <v>0.74</v>
      </c>
      <c r="N71" s="5">
        <v>0.78600000000000003</v>
      </c>
      <c r="O71" s="5">
        <v>0.82899999999999996</v>
      </c>
      <c r="P71" s="5">
        <v>0.85499999999999998</v>
      </c>
      <c r="Q71" s="5">
        <v>0.89500000000000002</v>
      </c>
      <c r="R71" s="5">
        <v>0.92400000000000004</v>
      </c>
      <c r="S71" s="5">
        <v>0.95199999999999996</v>
      </c>
      <c r="T71" s="5">
        <v>0.98399999999999999</v>
      </c>
      <c r="U71" s="5">
        <v>1.024</v>
      </c>
      <c r="V71" s="5">
        <v>1.0029999999999999</v>
      </c>
      <c r="W71" s="5">
        <v>1.004</v>
      </c>
      <c r="X71" s="5">
        <v>1.044</v>
      </c>
      <c r="Y71" s="5">
        <v>1.05</v>
      </c>
      <c r="Z71" s="5">
        <v>1.0660000000000001</v>
      </c>
      <c r="AA71" s="5">
        <v>1.1299999999999999</v>
      </c>
      <c r="AB71" s="5">
        <v>1.135</v>
      </c>
      <c r="AC71" s="5">
        <v>1.1040000000000001</v>
      </c>
      <c r="AD71" s="5">
        <v>29.268999999999998</v>
      </c>
    </row>
    <row r="72" spans="1:30" x14ac:dyDescent="0.3">
      <c r="D72" t="s">
        <v>36</v>
      </c>
      <c r="E72" s="3">
        <f t="shared" ref="E72:AD72" si="0">AVERAGE(E4:E71)</f>
        <v>0.25241176470588245</v>
      </c>
      <c r="F72" s="3">
        <f t="shared" si="0"/>
        <v>0.3272205882352941</v>
      </c>
      <c r="G72" s="3">
        <f t="shared" si="0"/>
        <v>0.40461764705882364</v>
      </c>
      <c r="H72" s="3">
        <f t="shared" si="0"/>
        <v>0.4794705882352942</v>
      </c>
      <c r="I72" s="3">
        <f t="shared" si="0"/>
        <v>0.53807352941176467</v>
      </c>
      <c r="J72" s="3">
        <f t="shared" si="0"/>
        <v>0.58436764705882338</v>
      </c>
      <c r="K72" s="3">
        <f t="shared" si="0"/>
        <v>0.63045588235294125</v>
      </c>
      <c r="L72" s="3">
        <f t="shared" si="0"/>
        <v>0.67589705882352913</v>
      </c>
      <c r="M72" s="3">
        <f t="shared" si="0"/>
        <v>0.72339705882352912</v>
      </c>
      <c r="N72" s="3">
        <f t="shared" si="0"/>
        <v>0.76700000000000013</v>
      </c>
      <c r="O72" s="3">
        <f t="shared" si="0"/>
        <v>0.80377941176470558</v>
      </c>
      <c r="P72" s="3">
        <f t="shared" si="0"/>
        <v>0.8373235294117648</v>
      </c>
      <c r="Q72" s="3">
        <f t="shared" si="0"/>
        <v>0.87010294117647036</v>
      </c>
      <c r="R72" s="3">
        <f t="shared" si="0"/>
        <v>0.90264705882352925</v>
      </c>
      <c r="S72" s="3">
        <f t="shared" si="0"/>
        <v>0.93477941176470603</v>
      </c>
      <c r="T72" s="3">
        <f t="shared" si="0"/>
        <v>0.96755882352941169</v>
      </c>
      <c r="U72" s="3">
        <f t="shared" si="0"/>
        <v>0.99919117647058775</v>
      </c>
      <c r="V72" s="3">
        <f t="shared" si="0"/>
        <v>1.012205882352941</v>
      </c>
      <c r="W72" s="3">
        <f t="shared" si="0"/>
        <v>1.0226617647058824</v>
      </c>
      <c r="X72" s="3">
        <f t="shared" si="0"/>
        <v>1.0305441176470587</v>
      </c>
      <c r="Y72" s="3">
        <f t="shared" si="0"/>
        <v>1.0408235294117647</v>
      </c>
      <c r="Z72" s="3">
        <f t="shared" si="0"/>
        <v>1.0510294117647057</v>
      </c>
      <c r="AA72" s="3">
        <f t="shared" si="0"/>
        <v>1.0621911764705878</v>
      </c>
      <c r="AB72" s="3">
        <f t="shared" si="0"/>
        <v>1.0778235294117651</v>
      </c>
      <c r="AC72" s="3">
        <f t="shared" si="0"/>
        <v>1.0940882352941179</v>
      </c>
      <c r="AD72" s="3">
        <f t="shared" si="0"/>
        <v>29.241764705882343</v>
      </c>
    </row>
    <row r="73" spans="1:30" x14ac:dyDescent="0.3">
      <c r="D73" t="s">
        <v>39</v>
      </c>
      <c r="E73" s="3">
        <f>F72-E72</f>
        <v>7.480882352941165E-2</v>
      </c>
      <c r="F73" s="3">
        <f t="shared" ref="F73:AB73" si="1">G72-F72</f>
        <v>7.7397058823529541E-2</v>
      </c>
      <c r="G73" s="3">
        <f t="shared" si="1"/>
        <v>7.4852941176470567E-2</v>
      </c>
      <c r="H73" s="3">
        <f t="shared" si="1"/>
        <v>5.8602941176470469E-2</v>
      </c>
      <c r="I73" s="3">
        <f t="shared" si="1"/>
        <v>4.6294117647058708E-2</v>
      </c>
      <c r="J73" s="3">
        <f t="shared" si="1"/>
        <v>4.6088235294117874E-2</v>
      </c>
      <c r="K73" s="3">
        <f t="shared" si="1"/>
        <v>4.5441176470587874E-2</v>
      </c>
      <c r="L73" s="3">
        <f t="shared" si="1"/>
        <v>4.7499999999999987E-2</v>
      </c>
      <c r="M73" s="3">
        <f t="shared" si="1"/>
        <v>4.3602941176471011E-2</v>
      </c>
      <c r="N73" s="3">
        <f t="shared" si="1"/>
        <v>3.677941176470545E-2</v>
      </c>
      <c r="O73" s="3">
        <f t="shared" si="1"/>
        <v>3.3544117647059224E-2</v>
      </c>
      <c r="P73" s="3">
        <f t="shared" si="1"/>
        <v>3.2779411764705557E-2</v>
      </c>
      <c r="Q73" s="3">
        <f t="shared" si="1"/>
        <v>3.254411764705889E-2</v>
      </c>
      <c r="R73" s="3">
        <f t="shared" si="1"/>
        <v>3.2132352941176778E-2</v>
      </c>
      <c r="S73" s="3">
        <f t="shared" si="1"/>
        <v>3.2779411764705668E-2</v>
      </c>
      <c r="T73" s="3">
        <f t="shared" si="1"/>
        <v>3.1632352941176056E-2</v>
      </c>
      <c r="U73" s="3">
        <f t="shared" si="1"/>
        <v>1.3014705882353206E-2</v>
      </c>
      <c r="V73" s="3">
        <f t="shared" si="1"/>
        <v>1.0455882352941481E-2</v>
      </c>
      <c r="W73" s="3">
        <f t="shared" si="1"/>
        <v>7.8823529411762294E-3</v>
      </c>
      <c r="X73" s="3">
        <f t="shared" si="1"/>
        <v>1.0279411764706037E-2</v>
      </c>
      <c r="Y73" s="3">
        <f t="shared" si="1"/>
        <v>1.0205882352940954E-2</v>
      </c>
      <c r="Z73" s="3">
        <f t="shared" si="1"/>
        <v>1.1161764705882149E-2</v>
      </c>
      <c r="AA73" s="3">
        <f t="shared" si="1"/>
        <v>1.5632352941177263E-2</v>
      </c>
      <c r="AB73" s="3">
        <f t="shared" si="1"/>
        <v>1.6264705882352848E-2</v>
      </c>
      <c r="AC73" s="3"/>
      <c r="AD73" s="3"/>
    </row>
    <row r="74" spans="1:30" x14ac:dyDescent="0.3">
      <c r="D74" t="s">
        <v>40</v>
      </c>
      <c r="E74" s="3">
        <f t="shared" ref="E74:AD74" si="2">MIN(E4:E71)</f>
        <v>0.224</v>
      </c>
      <c r="F74" s="3">
        <f t="shared" si="2"/>
        <v>0.307</v>
      </c>
      <c r="G74" s="3">
        <f t="shared" si="2"/>
        <v>0.378</v>
      </c>
      <c r="H74" s="3">
        <f t="shared" si="2"/>
        <v>0.45600000000000002</v>
      </c>
      <c r="I74" s="3">
        <f t="shared" si="2"/>
        <v>0.51</v>
      </c>
      <c r="J74" s="3">
        <f t="shared" si="2"/>
        <v>0.55500000000000005</v>
      </c>
      <c r="K74" s="3">
        <f t="shared" si="2"/>
        <v>0.59899999999999998</v>
      </c>
      <c r="L74" s="3">
        <f t="shared" si="2"/>
        <v>0.64600000000000002</v>
      </c>
      <c r="M74" s="3">
        <f t="shared" si="2"/>
        <v>0.69699999999999995</v>
      </c>
      <c r="N74" s="3">
        <f t="shared" si="2"/>
        <v>0.74199999999999999</v>
      </c>
      <c r="O74" s="3">
        <f t="shared" si="2"/>
        <v>0.77200000000000002</v>
      </c>
      <c r="P74" s="3">
        <f t="shared" si="2"/>
        <v>0.80700000000000005</v>
      </c>
      <c r="Q74" s="3">
        <f t="shared" si="2"/>
        <v>0.83199999999999996</v>
      </c>
      <c r="R74" s="3">
        <f t="shared" si="2"/>
        <v>0.85699999999999998</v>
      </c>
      <c r="S74" s="3">
        <f t="shared" si="2"/>
        <v>0.88900000000000001</v>
      </c>
      <c r="T74" s="3">
        <f t="shared" si="2"/>
        <v>0.92100000000000004</v>
      </c>
      <c r="U74" s="3">
        <f t="shared" si="2"/>
        <v>0.95799999999999996</v>
      </c>
      <c r="V74" s="3">
        <f t="shared" si="2"/>
        <v>0.96</v>
      </c>
      <c r="W74" s="3">
        <f t="shared" si="2"/>
        <v>0.96199999999999997</v>
      </c>
      <c r="X74" s="3">
        <f t="shared" si="2"/>
        <v>0.96899999999999997</v>
      </c>
      <c r="Y74" s="3">
        <f t="shared" si="2"/>
        <v>0.98499999999999999</v>
      </c>
      <c r="Z74" s="3">
        <f t="shared" si="2"/>
        <v>0.995</v>
      </c>
      <c r="AA74" s="3">
        <f t="shared" si="2"/>
        <v>0.998</v>
      </c>
      <c r="AB74" s="3">
        <f t="shared" si="2"/>
        <v>0.98899999999999999</v>
      </c>
      <c r="AC74" s="3">
        <f t="shared" si="2"/>
        <v>0.98199999999999998</v>
      </c>
      <c r="AD74" s="3">
        <f t="shared" si="2"/>
        <v>28.712</v>
      </c>
    </row>
    <row r="75" spans="1:30" x14ac:dyDescent="0.3">
      <c r="D75" t="s">
        <v>41</v>
      </c>
      <c r="E75" s="3">
        <f t="shared" ref="E75:AD75" si="3">MAX(E4:E71)</f>
        <v>0.371</v>
      </c>
      <c r="F75" s="3">
        <f t="shared" si="3"/>
        <v>0.35699999999999998</v>
      </c>
      <c r="G75" s="3">
        <f t="shared" si="3"/>
        <v>0.433</v>
      </c>
      <c r="H75" s="3">
        <f t="shared" si="3"/>
        <v>0.51300000000000001</v>
      </c>
      <c r="I75" s="3">
        <f t="shared" si="3"/>
        <v>0.57699999999999996</v>
      </c>
      <c r="J75" s="3">
        <f t="shared" si="3"/>
        <v>0.63</v>
      </c>
      <c r="K75" s="3">
        <f t="shared" si="3"/>
        <v>0.66900000000000004</v>
      </c>
      <c r="L75" s="3">
        <f t="shared" si="3"/>
        <v>0.71099999999999997</v>
      </c>
      <c r="M75" s="3">
        <f t="shared" si="3"/>
        <v>0.75700000000000001</v>
      </c>
      <c r="N75" s="3">
        <f t="shared" si="3"/>
        <v>0.80600000000000005</v>
      </c>
      <c r="O75" s="3">
        <f t="shared" si="3"/>
        <v>0.87</v>
      </c>
      <c r="P75" s="3">
        <f t="shared" si="3"/>
        <v>0.88500000000000001</v>
      </c>
      <c r="Q75" s="3">
        <f t="shared" si="3"/>
        <v>0.91300000000000003</v>
      </c>
      <c r="R75" s="3">
        <f t="shared" si="3"/>
        <v>0.94499999999999995</v>
      </c>
      <c r="S75" s="3">
        <f t="shared" si="3"/>
        <v>0.97399999999999998</v>
      </c>
      <c r="T75" s="3">
        <f t="shared" si="3"/>
        <v>1.004</v>
      </c>
      <c r="U75" s="3">
        <f t="shared" si="3"/>
        <v>1.056</v>
      </c>
      <c r="V75" s="3">
        <f t="shared" si="3"/>
        <v>1.0669999999999999</v>
      </c>
      <c r="W75" s="3">
        <f t="shared" si="3"/>
        <v>1.069</v>
      </c>
      <c r="X75" s="3">
        <f t="shared" si="3"/>
        <v>1.1020000000000001</v>
      </c>
      <c r="Y75" s="3">
        <f t="shared" si="3"/>
        <v>1.0980000000000001</v>
      </c>
      <c r="Z75" s="3">
        <f t="shared" si="3"/>
        <v>1.1140000000000001</v>
      </c>
      <c r="AA75" s="3">
        <f t="shared" si="3"/>
        <v>1.1439999999999999</v>
      </c>
      <c r="AB75" s="3">
        <f t="shared" si="3"/>
        <v>1.1579999999999999</v>
      </c>
      <c r="AC75" s="3">
        <f t="shared" si="3"/>
        <v>1.163</v>
      </c>
      <c r="AD75" s="3">
        <f t="shared" si="3"/>
        <v>29.638999999999999</v>
      </c>
    </row>
    <row r="76" spans="1:30" x14ac:dyDescent="0.3">
      <c r="D76" t="s">
        <v>37</v>
      </c>
      <c r="E76" s="3">
        <f t="shared" ref="E76:AD76" si="4">AVERAGE(E4:E71)-(2*_xlfn.STDEV.S(E4:E71))</f>
        <v>0.20011612373104548</v>
      </c>
      <c r="F76" s="3">
        <f t="shared" si="4"/>
        <v>0.30578872302583432</v>
      </c>
      <c r="G76" s="3">
        <f t="shared" si="4"/>
        <v>0.38445701033657376</v>
      </c>
      <c r="H76" s="3">
        <f t="shared" si="4"/>
        <v>0.46059639171947803</v>
      </c>
      <c r="I76" s="3">
        <f t="shared" si="4"/>
        <v>0.51789724311983765</v>
      </c>
      <c r="J76" s="3">
        <f t="shared" si="4"/>
        <v>0.56179066918836984</v>
      </c>
      <c r="K76" s="3">
        <f t="shared" si="4"/>
        <v>0.60508594168732976</v>
      </c>
      <c r="L76" s="3">
        <f t="shared" si="4"/>
        <v>0.65227531395670957</v>
      </c>
      <c r="M76" s="3">
        <f t="shared" si="4"/>
        <v>0.69855333303309797</v>
      </c>
      <c r="N76" s="3">
        <f t="shared" si="4"/>
        <v>0.74377623450897579</v>
      </c>
      <c r="O76" s="3">
        <f t="shared" si="4"/>
        <v>0.77110399202277002</v>
      </c>
      <c r="P76" s="3">
        <f t="shared" si="4"/>
        <v>0.81069969052270674</v>
      </c>
      <c r="Q76" s="3">
        <f t="shared" si="4"/>
        <v>0.84132040147360276</v>
      </c>
      <c r="R76" s="3">
        <f t="shared" si="4"/>
        <v>0.87154824720178936</v>
      </c>
      <c r="S76" s="3">
        <f t="shared" si="4"/>
        <v>0.90064561778963537</v>
      </c>
      <c r="T76" s="3">
        <f t="shared" si="4"/>
        <v>0.93260318878547965</v>
      </c>
      <c r="U76" s="3">
        <f t="shared" si="4"/>
        <v>0.96187964833658512</v>
      </c>
      <c r="V76" s="3">
        <f t="shared" si="4"/>
        <v>0.96643349437375703</v>
      </c>
      <c r="W76" s="3">
        <f t="shared" si="4"/>
        <v>0.97433500342381385</v>
      </c>
      <c r="X76" s="3">
        <f t="shared" si="4"/>
        <v>0.97197059316736167</v>
      </c>
      <c r="Y76" s="3">
        <f t="shared" si="4"/>
        <v>0.98270071433015138</v>
      </c>
      <c r="Z76" s="3">
        <f t="shared" si="4"/>
        <v>0.99171494941890515</v>
      </c>
      <c r="AA76" s="3">
        <f t="shared" si="4"/>
        <v>0.99197763663338412</v>
      </c>
      <c r="AB76" s="3">
        <f t="shared" si="4"/>
        <v>1.0081822814041641</v>
      </c>
      <c r="AC76" s="3">
        <f t="shared" si="4"/>
        <v>1.0260612561912297</v>
      </c>
      <c r="AD76" s="3">
        <f t="shared" si="4"/>
        <v>28.924375709158387</v>
      </c>
    </row>
    <row r="77" spans="1:30" x14ac:dyDescent="0.3">
      <c r="D77" t="s">
        <v>38</v>
      </c>
      <c r="E77" s="3">
        <f t="shared" ref="E77:AD77" si="5">AVERAGE(E4:E71)+(2*_xlfn.STDEV.S(E4:E71))</f>
        <v>0.30470740568071941</v>
      </c>
      <c r="F77" s="3">
        <f t="shared" si="5"/>
        <v>0.34865245344475387</v>
      </c>
      <c r="G77" s="3">
        <f t="shared" si="5"/>
        <v>0.42477828378107352</v>
      </c>
      <c r="H77" s="3">
        <f t="shared" si="5"/>
        <v>0.49834478475111038</v>
      </c>
      <c r="I77" s="3">
        <f t="shared" si="5"/>
        <v>0.5582498157036917</v>
      </c>
      <c r="J77" s="3">
        <f t="shared" si="5"/>
        <v>0.60694462492927692</v>
      </c>
      <c r="K77" s="3">
        <f t="shared" si="5"/>
        <v>0.65582582301855274</v>
      </c>
      <c r="L77" s="3">
        <f t="shared" si="5"/>
        <v>0.69951880369034869</v>
      </c>
      <c r="M77" s="3">
        <f t="shared" si="5"/>
        <v>0.74824078461396026</v>
      </c>
      <c r="N77" s="3">
        <f t="shared" si="5"/>
        <v>0.79022376549102447</v>
      </c>
      <c r="O77" s="3">
        <f t="shared" si="5"/>
        <v>0.83645483150664113</v>
      </c>
      <c r="P77" s="3">
        <f t="shared" si="5"/>
        <v>0.86394736830082286</v>
      </c>
      <c r="Q77" s="3">
        <f t="shared" si="5"/>
        <v>0.89888548087933795</v>
      </c>
      <c r="R77" s="3">
        <f t="shared" si="5"/>
        <v>0.93374587044526913</v>
      </c>
      <c r="S77" s="3">
        <f t="shared" si="5"/>
        <v>0.96891320573977668</v>
      </c>
      <c r="T77" s="3">
        <f t="shared" si="5"/>
        <v>1.0025144582733436</v>
      </c>
      <c r="U77" s="3">
        <f t="shared" si="5"/>
        <v>1.0365027046045903</v>
      </c>
      <c r="V77" s="3">
        <f t="shared" si="5"/>
        <v>1.057978270332125</v>
      </c>
      <c r="W77" s="3">
        <f t="shared" si="5"/>
        <v>1.070988525987951</v>
      </c>
      <c r="X77" s="3">
        <f t="shared" si="5"/>
        <v>1.0891176421267557</v>
      </c>
      <c r="Y77" s="3">
        <f t="shared" si="5"/>
        <v>1.098946344493378</v>
      </c>
      <c r="Z77" s="3">
        <f t="shared" si="5"/>
        <v>1.1103438741105061</v>
      </c>
      <c r="AA77" s="3">
        <f t="shared" si="5"/>
        <v>1.1324047163077915</v>
      </c>
      <c r="AB77" s="3">
        <f t="shared" si="5"/>
        <v>1.147464777419366</v>
      </c>
      <c r="AC77" s="3">
        <f t="shared" si="5"/>
        <v>1.1621152143970062</v>
      </c>
      <c r="AD77" s="3">
        <f t="shared" si="5"/>
        <v>29.559153702606299</v>
      </c>
    </row>
    <row r="78" spans="1:30" x14ac:dyDescent="0.3">
      <c r="D78" t="s">
        <v>43</v>
      </c>
      <c r="E78">
        <f t="shared" ref="E78:AD78" si="6">3*_xlfn.STDEV.S(E4:E71)</f>
        <v>7.8443461462255476E-2</v>
      </c>
      <c r="F78">
        <f t="shared" si="6"/>
        <v>3.2147797814189694E-2</v>
      </c>
      <c r="G78">
        <f t="shared" si="6"/>
        <v>3.0240955083374835E-2</v>
      </c>
      <c r="H78">
        <f t="shared" si="6"/>
        <v>2.8311294773724238E-2</v>
      </c>
      <c r="I78">
        <f t="shared" si="6"/>
        <v>3.0264429437890511E-2</v>
      </c>
      <c r="J78">
        <f t="shared" si="6"/>
        <v>3.3865466805680366E-2</v>
      </c>
      <c r="K78">
        <f t="shared" si="6"/>
        <v>3.8054910998417228E-2</v>
      </c>
      <c r="L78">
        <f t="shared" si="6"/>
        <v>3.5432617300229327E-2</v>
      </c>
      <c r="M78">
        <f t="shared" si="6"/>
        <v>3.7265588685646694E-2</v>
      </c>
      <c r="N78">
        <f t="shared" si="6"/>
        <v>3.4835648236536433E-2</v>
      </c>
      <c r="O78">
        <f t="shared" si="6"/>
        <v>4.9013129612903397E-2</v>
      </c>
      <c r="P78">
        <f t="shared" si="6"/>
        <v>3.9935758333587042E-2</v>
      </c>
      <c r="Q78">
        <f t="shared" si="6"/>
        <v>4.3173809554301362E-2</v>
      </c>
      <c r="R78">
        <f t="shared" si="6"/>
        <v>4.6648217432609773E-2</v>
      </c>
      <c r="S78">
        <f t="shared" si="6"/>
        <v>5.1200690962605967E-2</v>
      </c>
      <c r="T78">
        <f t="shared" si="6"/>
        <v>5.2433452115897991E-2</v>
      </c>
      <c r="U78">
        <f t="shared" si="6"/>
        <v>5.5967292201003924E-2</v>
      </c>
      <c r="V78">
        <f t="shared" si="6"/>
        <v>6.8658581968775931E-2</v>
      </c>
      <c r="W78">
        <f t="shared" si="6"/>
        <v>7.2490141923102935E-2</v>
      </c>
      <c r="X78">
        <f t="shared" si="6"/>
        <v>8.7860286719545544E-2</v>
      </c>
      <c r="Y78">
        <f t="shared" si="6"/>
        <v>8.718422262242001E-2</v>
      </c>
      <c r="Z78">
        <f t="shared" si="6"/>
        <v>8.897169351870074E-2</v>
      </c>
      <c r="AA78">
        <f t="shared" si="6"/>
        <v>0.10532030975580557</v>
      </c>
      <c r="AB78">
        <f t="shared" si="6"/>
        <v>0.1044618720114015</v>
      </c>
      <c r="AC78">
        <f t="shared" si="6"/>
        <v>0.1020404686543324</v>
      </c>
      <c r="AD78">
        <f t="shared" si="6"/>
        <v>0.47608349508593517</v>
      </c>
    </row>
    <row r="79" spans="1:30" x14ac:dyDescent="0.3">
      <c r="D79" t="s">
        <v>44</v>
      </c>
      <c r="E79">
        <f t="shared" ref="E79:AD79" si="7">(_xlfn.PERCENTILE.INC(E4:E71,0.95)-_xlfn.PERCENTILE.INC(E4:E71,0.05))/2</f>
        <v>3.9425000000000016E-2</v>
      </c>
      <c r="F79">
        <f t="shared" si="7"/>
        <v>1.7149999999999999E-2</v>
      </c>
      <c r="G79">
        <f t="shared" si="7"/>
        <v>1.5149999999999969E-2</v>
      </c>
      <c r="H79">
        <f t="shared" si="7"/>
        <v>1.3649999999999968E-2</v>
      </c>
      <c r="I79">
        <f t="shared" si="7"/>
        <v>1.5300000000000036E-2</v>
      </c>
      <c r="J79">
        <f t="shared" si="7"/>
        <v>1.5625000000000056E-2</v>
      </c>
      <c r="K79">
        <f t="shared" si="7"/>
        <v>2.1425000000000083E-2</v>
      </c>
      <c r="L79">
        <f t="shared" si="7"/>
        <v>1.7974999999999963E-2</v>
      </c>
      <c r="M79">
        <f t="shared" si="7"/>
        <v>1.8650000000000055E-2</v>
      </c>
      <c r="N79">
        <f t="shared" si="7"/>
        <v>1.7325000000000035E-2</v>
      </c>
      <c r="O79">
        <f t="shared" si="7"/>
        <v>2.0774999999999988E-2</v>
      </c>
      <c r="P79">
        <f t="shared" si="7"/>
        <v>1.9975000000000021E-2</v>
      </c>
      <c r="Q79">
        <f t="shared" si="7"/>
        <v>2.2299999999999986E-2</v>
      </c>
      <c r="R79">
        <f t="shared" si="7"/>
        <v>2.4950000000000083E-2</v>
      </c>
      <c r="S79">
        <f t="shared" si="7"/>
        <v>2.657499999999996E-2</v>
      </c>
      <c r="T79">
        <f t="shared" si="7"/>
        <v>2.910000000000007E-2</v>
      </c>
      <c r="U79">
        <f t="shared" si="7"/>
        <v>2.7300000000000046E-2</v>
      </c>
      <c r="V79">
        <f t="shared" si="7"/>
        <v>3.2974999999999977E-2</v>
      </c>
      <c r="W79">
        <f t="shared" si="7"/>
        <v>3.5650000000000015E-2</v>
      </c>
      <c r="X79">
        <f t="shared" si="7"/>
        <v>4.4649999999999967E-2</v>
      </c>
      <c r="Y79">
        <f t="shared" si="7"/>
        <v>4.527500000000001E-2</v>
      </c>
      <c r="Z79">
        <f t="shared" si="7"/>
        <v>4.9299999999999955E-2</v>
      </c>
      <c r="AA79">
        <f t="shared" si="7"/>
        <v>5.5275000000000074E-2</v>
      </c>
      <c r="AB79">
        <f t="shared" si="7"/>
        <v>5.4100000000000037E-2</v>
      </c>
      <c r="AC79">
        <f t="shared" si="7"/>
        <v>5.0049999999999928E-2</v>
      </c>
      <c r="AD79">
        <f t="shared" si="7"/>
        <v>0.24812499999999993</v>
      </c>
    </row>
    <row r="80" spans="1:30" x14ac:dyDescent="0.3">
      <c r="D80" t="s">
        <v>42</v>
      </c>
      <c r="E80">
        <f t="shared" ref="E80:AD80" si="8">MAX(3*_xlfn.STDEV.S(E4:E71),(_xlfn.PERCENTILE.INC(E4:E71,0.95)-_xlfn.PERCENTILE.INC(E4:E71,0.05))/2
)</f>
        <v>7.8443461462255476E-2</v>
      </c>
      <c r="F80">
        <f t="shared" si="8"/>
        <v>3.2147797814189694E-2</v>
      </c>
      <c r="G80">
        <f t="shared" si="8"/>
        <v>3.0240955083374835E-2</v>
      </c>
      <c r="H80">
        <f t="shared" si="8"/>
        <v>2.8311294773724238E-2</v>
      </c>
      <c r="I80">
        <f t="shared" si="8"/>
        <v>3.0264429437890511E-2</v>
      </c>
      <c r="J80">
        <f t="shared" si="8"/>
        <v>3.3865466805680366E-2</v>
      </c>
      <c r="K80">
        <f t="shared" si="8"/>
        <v>3.8054910998417228E-2</v>
      </c>
      <c r="L80">
        <f t="shared" si="8"/>
        <v>3.5432617300229327E-2</v>
      </c>
      <c r="M80">
        <f t="shared" si="8"/>
        <v>3.7265588685646694E-2</v>
      </c>
      <c r="N80">
        <f t="shared" si="8"/>
        <v>3.4835648236536433E-2</v>
      </c>
      <c r="O80">
        <f t="shared" si="8"/>
        <v>4.9013129612903397E-2</v>
      </c>
      <c r="P80">
        <f t="shared" si="8"/>
        <v>3.9935758333587042E-2</v>
      </c>
      <c r="Q80">
        <f t="shared" si="8"/>
        <v>4.3173809554301362E-2</v>
      </c>
      <c r="R80">
        <f t="shared" si="8"/>
        <v>4.6648217432609773E-2</v>
      </c>
      <c r="S80">
        <f t="shared" si="8"/>
        <v>5.1200690962605967E-2</v>
      </c>
      <c r="T80">
        <f t="shared" si="8"/>
        <v>5.2433452115897991E-2</v>
      </c>
      <c r="U80">
        <f t="shared" si="8"/>
        <v>5.5967292201003924E-2</v>
      </c>
      <c r="V80">
        <f t="shared" si="8"/>
        <v>6.8658581968775931E-2</v>
      </c>
      <c r="W80">
        <f t="shared" si="8"/>
        <v>7.2490141923102935E-2</v>
      </c>
      <c r="X80">
        <f t="shared" si="8"/>
        <v>8.7860286719545544E-2</v>
      </c>
      <c r="Y80">
        <f t="shared" si="8"/>
        <v>8.718422262242001E-2</v>
      </c>
      <c r="Z80">
        <f t="shared" si="8"/>
        <v>8.897169351870074E-2</v>
      </c>
      <c r="AA80">
        <f t="shared" si="8"/>
        <v>0.10532030975580557</v>
      </c>
      <c r="AB80">
        <f t="shared" si="8"/>
        <v>0.1044618720114015</v>
      </c>
      <c r="AC80">
        <f t="shared" si="8"/>
        <v>0.1020404686543324</v>
      </c>
      <c r="AD80">
        <f t="shared" si="8"/>
        <v>0.47608349508593517</v>
      </c>
    </row>
    <row r="81" spans="3:30" x14ac:dyDescent="0.3">
      <c r="C81" t="s">
        <v>36</v>
      </c>
      <c r="D81" t="s">
        <v>47</v>
      </c>
      <c r="E81" s="3">
        <f t="shared" ref="E81:AD81" si="9">ROUND(AVERAGE(E4:E71),3)</f>
        <v>0.252</v>
      </c>
      <c r="F81" s="3">
        <f t="shared" si="9"/>
        <v>0.32700000000000001</v>
      </c>
      <c r="G81" s="3">
        <f t="shared" si="9"/>
        <v>0.40500000000000003</v>
      </c>
      <c r="H81" s="3">
        <f t="shared" si="9"/>
        <v>0.47899999999999998</v>
      </c>
      <c r="I81" s="3">
        <f t="shared" si="9"/>
        <v>0.53800000000000003</v>
      </c>
      <c r="J81" s="3">
        <f t="shared" si="9"/>
        <v>0.58399999999999996</v>
      </c>
      <c r="K81" s="3">
        <f t="shared" si="9"/>
        <v>0.63</v>
      </c>
      <c r="L81" s="3">
        <f t="shared" si="9"/>
        <v>0.67600000000000005</v>
      </c>
      <c r="M81" s="3">
        <f t="shared" si="9"/>
        <v>0.72299999999999998</v>
      </c>
      <c r="N81" s="3">
        <f t="shared" si="9"/>
        <v>0.76700000000000002</v>
      </c>
      <c r="O81" s="3">
        <f t="shared" si="9"/>
        <v>0.80400000000000005</v>
      </c>
      <c r="P81" s="3">
        <f t="shared" si="9"/>
        <v>0.83699999999999997</v>
      </c>
      <c r="Q81" s="3">
        <f t="shared" si="9"/>
        <v>0.87</v>
      </c>
      <c r="R81" s="3">
        <f t="shared" si="9"/>
        <v>0.90300000000000002</v>
      </c>
      <c r="S81" s="3">
        <f t="shared" si="9"/>
        <v>0.93500000000000005</v>
      </c>
      <c r="T81" s="3">
        <f t="shared" si="9"/>
        <v>0.96799999999999997</v>
      </c>
      <c r="U81" s="3">
        <f t="shared" si="9"/>
        <v>0.999</v>
      </c>
      <c r="V81" s="3">
        <f t="shared" si="9"/>
        <v>1.012</v>
      </c>
      <c r="W81" s="3">
        <f t="shared" si="9"/>
        <v>1.0229999999999999</v>
      </c>
      <c r="X81" s="3">
        <f t="shared" si="9"/>
        <v>1.0309999999999999</v>
      </c>
      <c r="Y81" s="3">
        <f t="shared" si="9"/>
        <v>1.0409999999999999</v>
      </c>
      <c r="Z81" s="3">
        <f t="shared" si="9"/>
        <v>1.0509999999999999</v>
      </c>
      <c r="AA81" s="3">
        <f t="shared" si="9"/>
        <v>1.0620000000000001</v>
      </c>
      <c r="AB81" s="3">
        <f t="shared" si="9"/>
        <v>1.0780000000000001</v>
      </c>
      <c r="AC81" s="3">
        <f t="shared" si="9"/>
        <v>1.0940000000000001</v>
      </c>
      <c r="AD81" s="3">
        <f t="shared" si="9"/>
        <v>29.242000000000001</v>
      </c>
    </row>
    <row r="82" spans="3:30" x14ac:dyDescent="0.3">
      <c r="C82" t="s">
        <v>45</v>
      </c>
      <c r="D82" t="s">
        <v>46</v>
      </c>
      <c r="E82" s="3">
        <f t="shared" ref="E82:AD82" si="10">ROUND(TRIMMEAN(E4:E71,0.1),3)</f>
        <v>0.249</v>
      </c>
      <c r="F82" s="3">
        <f t="shared" si="10"/>
        <v>0.32700000000000001</v>
      </c>
      <c r="G82" s="3">
        <f t="shared" si="10"/>
        <v>0.40500000000000003</v>
      </c>
      <c r="H82" s="3">
        <f t="shared" si="10"/>
        <v>0.47899999999999998</v>
      </c>
      <c r="I82" s="3">
        <f t="shared" si="10"/>
        <v>0.53800000000000003</v>
      </c>
      <c r="J82" s="3">
        <f t="shared" si="10"/>
        <v>0.58399999999999996</v>
      </c>
      <c r="K82" s="3">
        <f t="shared" si="10"/>
        <v>0.63</v>
      </c>
      <c r="L82" s="3">
        <f t="shared" si="10"/>
        <v>0.67600000000000005</v>
      </c>
      <c r="M82" s="3">
        <f t="shared" si="10"/>
        <v>0.72299999999999998</v>
      </c>
      <c r="N82" s="3">
        <f t="shared" si="10"/>
        <v>0.76600000000000001</v>
      </c>
      <c r="O82" s="3">
        <f t="shared" si="10"/>
        <v>0.80300000000000005</v>
      </c>
      <c r="P82" s="3">
        <f t="shared" si="10"/>
        <v>0.83699999999999997</v>
      </c>
      <c r="Q82" s="3">
        <f t="shared" si="10"/>
        <v>0.87</v>
      </c>
      <c r="R82" s="3">
        <f t="shared" si="10"/>
        <v>0.90300000000000002</v>
      </c>
      <c r="S82" s="3">
        <f t="shared" si="10"/>
        <v>0.93500000000000005</v>
      </c>
      <c r="T82" s="3">
        <f t="shared" si="10"/>
        <v>0.96799999999999997</v>
      </c>
      <c r="U82" s="3">
        <f t="shared" si="10"/>
        <v>0.999</v>
      </c>
      <c r="V82" s="3">
        <f t="shared" si="10"/>
        <v>1.012</v>
      </c>
      <c r="W82" s="3">
        <f t="shared" si="10"/>
        <v>1.0229999999999999</v>
      </c>
      <c r="X82" s="3">
        <f t="shared" si="10"/>
        <v>1.0309999999999999</v>
      </c>
      <c r="Y82" s="3">
        <f t="shared" si="10"/>
        <v>1.0409999999999999</v>
      </c>
      <c r="Z82" s="3">
        <f t="shared" si="10"/>
        <v>1.0509999999999999</v>
      </c>
      <c r="AA82" s="3">
        <f t="shared" si="10"/>
        <v>1.0620000000000001</v>
      </c>
      <c r="AB82" s="3">
        <f t="shared" si="10"/>
        <v>1.0780000000000001</v>
      </c>
      <c r="AC82" s="3">
        <f t="shared" si="10"/>
        <v>1.0960000000000001</v>
      </c>
      <c r="AD82" s="3">
        <f t="shared" si="10"/>
        <v>29.244</v>
      </c>
    </row>
    <row r="87" spans="3:30" x14ac:dyDescent="0.3">
      <c r="E87" s="7"/>
      <c r="F87" s="7"/>
    </row>
    <row r="88" spans="3:30" x14ac:dyDescent="0.3">
      <c r="E88" s="8"/>
      <c r="F88" s="6"/>
    </row>
    <row r="89" spans="3:30" x14ac:dyDescent="0.3">
      <c r="E89" s="8"/>
      <c r="F89" s="6"/>
    </row>
    <row r="90" spans="3:30" x14ac:dyDescent="0.3">
      <c r="E90" s="8"/>
      <c r="F90" s="6"/>
    </row>
    <row r="91" spans="3:30" x14ac:dyDescent="0.3">
      <c r="E91" s="8"/>
      <c r="F91" s="6"/>
    </row>
    <row r="92" spans="3:30" x14ac:dyDescent="0.3">
      <c r="E92" s="8"/>
      <c r="F92" s="6"/>
    </row>
    <row r="93" spans="3:30" x14ac:dyDescent="0.3">
      <c r="E93" s="8"/>
      <c r="F93" s="6"/>
    </row>
    <row r="94" spans="3:30" x14ac:dyDescent="0.3">
      <c r="E94" s="8"/>
      <c r="F94" s="6"/>
    </row>
  </sheetData>
  <mergeCells count="6">
    <mergeCell ref="A2:B3"/>
    <mergeCell ref="C2:C3"/>
    <mergeCell ref="D2:D3"/>
    <mergeCell ref="E2:AD2"/>
    <mergeCell ref="A4:B71"/>
    <mergeCell ref="C4:C7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20D4-683D-492D-87EE-386C8C547B1F}">
  <dimension ref="A1:AD94"/>
  <sheetViews>
    <sheetView zoomScale="85" zoomScaleNormal="85" workbookViewId="0">
      <pane xSplit="3" ySplit="3" topLeftCell="D60" activePane="bottomRight" state="frozen"/>
      <selection pane="topRight" activeCell="D1" sqref="D1"/>
      <selection pane="bottomLeft" activeCell="A4" sqref="A4"/>
      <selection pane="bottomRight" activeCell="D83" sqref="D83:F94"/>
    </sheetView>
  </sheetViews>
  <sheetFormatPr defaultRowHeight="16.5" x14ac:dyDescent="0.3"/>
  <cols>
    <col min="3" max="3" width="17.5" customWidth="1"/>
    <col min="4" max="4" width="11.375" bestFit="1" customWidth="1"/>
    <col min="27" max="27" width="8.875" customWidth="1"/>
  </cols>
  <sheetData>
    <row r="1" spans="1:30" x14ac:dyDescent="0.3">
      <c r="X1" s="4"/>
    </row>
    <row r="2" spans="1:30" ht="20.100000000000001" customHeight="1" x14ac:dyDescent="0.3">
      <c r="A2" s="9" t="s">
        <v>1</v>
      </c>
      <c r="B2" s="10"/>
      <c r="C2" s="9" t="s">
        <v>3</v>
      </c>
      <c r="D2" s="11" t="s">
        <v>34</v>
      </c>
      <c r="E2" s="11" t="s">
        <v>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20.100000000000001" customHeight="1" x14ac:dyDescent="0.3">
      <c r="A3" s="9"/>
      <c r="B3" s="10"/>
      <c r="C3" s="9"/>
      <c r="D3" s="11"/>
      <c r="E3" s="2" t="s">
        <v>5</v>
      </c>
      <c r="F3" s="2" t="s">
        <v>35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7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0</v>
      </c>
    </row>
    <row r="4" spans="1:30" ht="16.5" customHeight="1" x14ac:dyDescent="0.3">
      <c r="A4" s="12" t="s">
        <v>31</v>
      </c>
      <c r="B4" s="12"/>
      <c r="C4" s="12" t="s">
        <v>4</v>
      </c>
      <c r="D4" s="1">
        <v>1</v>
      </c>
      <c r="E4" s="5">
        <v>0.32300000000000001</v>
      </c>
      <c r="F4" s="5">
        <v>0.373</v>
      </c>
      <c r="G4" s="5">
        <v>0.45900000000000002</v>
      </c>
      <c r="H4" s="5">
        <v>0.55000000000000004</v>
      </c>
      <c r="I4" s="5">
        <v>0.61799999999999999</v>
      </c>
      <c r="J4" s="5">
        <v>0.66700000000000004</v>
      </c>
      <c r="K4" s="5">
        <v>0.71199999999999997</v>
      </c>
      <c r="L4" s="5">
        <v>0.749</v>
      </c>
      <c r="M4" s="5">
        <v>0.78800000000000003</v>
      </c>
      <c r="N4" s="5">
        <v>0.81899999999999995</v>
      </c>
      <c r="O4" s="5">
        <v>0.83599999999999997</v>
      </c>
      <c r="P4" s="5">
        <v>0.84499999999999997</v>
      </c>
      <c r="Q4" s="5">
        <v>0.87</v>
      </c>
      <c r="R4" s="5">
        <v>0.89100000000000001</v>
      </c>
      <c r="S4" s="5">
        <v>0.91800000000000004</v>
      </c>
      <c r="T4" s="5">
        <v>0.94599999999999995</v>
      </c>
      <c r="U4" s="5">
        <v>0.96499999999999997</v>
      </c>
      <c r="V4" s="5">
        <v>0.96199999999999997</v>
      </c>
      <c r="W4" s="5">
        <v>0.97699999999999998</v>
      </c>
      <c r="X4" s="5">
        <v>0.97499999999999998</v>
      </c>
      <c r="Y4" s="5">
        <v>0.98299999999999998</v>
      </c>
      <c r="Z4" s="5">
        <v>0.98699999999999999</v>
      </c>
      <c r="AA4" s="5">
        <v>0.98199999999999998</v>
      </c>
      <c r="AB4" s="5">
        <v>0.98499999999999999</v>
      </c>
      <c r="AC4" s="5">
        <v>0.97099999999999997</v>
      </c>
      <c r="AD4" s="5">
        <v>29.291</v>
      </c>
    </row>
    <row r="5" spans="1:30" ht="16.5" customHeight="1" x14ac:dyDescent="0.3">
      <c r="A5" s="12"/>
      <c r="B5" s="12"/>
      <c r="C5" s="12"/>
      <c r="D5" s="1">
        <v>2</v>
      </c>
      <c r="E5" s="5">
        <v>0.29699999999999999</v>
      </c>
      <c r="F5" s="5">
        <v>0.37</v>
      </c>
      <c r="G5" s="5">
        <v>0.45900000000000002</v>
      </c>
      <c r="H5" s="5">
        <v>0.54600000000000004</v>
      </c>
      <c r="I5" s="5">
        <v>0.61299999999999999</v>
      </c>
      <c r="J5" s="5">
        <v>0.66300000000000003</v>
      </c>
      <c r="K5" s="5">
        <v>0.70699999999999996</v>
      </c>
      <c r="L5" s="5">
        <v>0.747</v>
      </c>
      <c r="M5" s="5">
        <v>0.78900000000000003</v>
      </c>
      <c r="N5" s="5">
        <v>0.81399999999999995</v>
      </c>
      <c r="O5" s="5">
        <v>0.83699999999999997</v>
      </c>
      <c r="P5" s="5">
        <v>0.84499999999999997</v>
      </c>
      <c r="Q5" s="5">
        <v>0.877</v>
      </c>
      <c r="R5" s="5">
        <v>0.90600000000000003</v>
      </c>
      <c r="S5" s="5">
        <v>0.92600000000000005</v>
      </c>
      <c r="T5" s="5">
        <v>0.94699999999999995</v>
      </c>
      <c r="U5" s="5">
        <v>0.97499999999999998</v>
      </c>
      <c r="V5" s="5">
        <v>0.99</v>
      </c>
      <c r="W5" s="5">
        <v>0.98799999999999999</v>
      </c>
      <c r="X5" s="5">
        <v>0.99199999999999999</v>
      </c>
      <c r="Y5" s="5">
        <v>1.002</v>
      </c>
      <c r="Z5" s="5">
        <v>1.016</v>
      </c>
      <c r="AA5" s="5">
        <v>1.012</v>
      </c>
      <c r="AB5" s="5">
        <v>0.997</v>
      </c>
      <c r="AC5" s="5">
        <v>1.0209999999999999</v>
      </c>
      <c r="AD5" s="5">
        <v>29.300999999999998</v>
      </c>
    </row>
    <row r="6" spans="1:30" ht="16.5" customHeight="1" x14ac:dyDescent="0.3">
      <c r="A6" s="12"/>
      <c r="B6" s="12"/>
      <c r="C6" s="12"/>
      <c r="D6" s="1">
        <v>3</v>
      </c>
      <c r="E6" s="5">
        <v>0.32300000000000001</v>
      </c>
      <c r="F6" s="5">
        <v>0.373</v>
      </c>
      <c r="G6" s="5">
        <v>0.46600000000000003</v>
      </c>
      <c r="H6" s="5">
        <v>0.54100000000000004</v>
      </c>
      <c r="I6" s="5">
        <v>0.60499999999999998</v>
      </c>
      <c r="J6" s="5">
        <v>0.66100000000000003</v>
      </c>
      <c r="K6" s="5">
        <v>0.69799999999999995</v>
      </c>
      <c r="L6" s="5">
        <v>0.73299999999999998</v>
      </c>
      <c r="M6" s="5">
        <v>0.76800000000000002</v>
      </c>
      <c r="N6" s="5">
        <v>0.79200000000000004</v>
      </c>
      <c r="O6" s="5">
        <v>0.82299999999999995</v>
      </c>
      <c r="P6" s="5">
        <v>0.83599999999999997</v>
      </c>
      <c r="Q6" s="5">
        <v>0.85799999999999998</v>
      </c>
      <c r="R6" s="5">
        <v>0.879</v>
      </c>
      <c r="S6" s="5">
        <v>0.91</v>
      </c>
      <c r="T6" s="5">
        <v>0.93700000000000006</v>
      </c>
      <c r="U6" s="5">
        <v>0.95599999999999996</v>
      </c>
      <c r="V6" s="5">
        <v>0.97199999999999998</v>
      </c>
      <c r="W6" s="5">
        <v>0.998</v>
      </c>
      <c r="X6" s="5">
        <v>0.96799999999999997</v>
      </c>
      <c r="Y6" s="5">
        <v>0.97599999999999998</v>
      </c>
      <c r="Z6" s="5">
        <v>0.98299999999999998</v>
      </c>
      <c r="AA6" s="5">
        <v>1.0069999999999999</v>
      </c>
      <c r="AB6" s="5">
        <v>1.0069999999999999</v>
      </c>
      <c r="AC6" s="5">
        <v>1.0309999999999999</v>
      </c>
      <c r="AD6" s="5">
        <v>29.312000000000001</v>
      </c>
    </row>
    <row r="7" spans="1:30" ht="16.5" customHeight="1" x14ac:dyDescent="0.3">
      <c r="A7" s="12"/>
      <c r="B7" s="12"/>
      <c r="C7" s="12"/>
      <c r="D7" s="1">
        <v>4</v>
      </c>
      <c r="E7" s="5">
        <v>0.29299999999999998</v>
      </c>
      <c r="F7" s="5">
        <v>0.36899999999999999</v>
      </c>
      <c r="G7" s="5">
        <v>0.46200000000000002</v>
      </c>
      <c r="H7" s="5">
        <v>0.54400000000000004</v>
      </c>
      <c r="I7" s="5">
        <v>0.60599999999999998</v>
      </c>
      <c r="J7" s="5">
        <v>0.65700000000000003</v>
      </c>
      <c r="K7" s="5">
        <v>0.69799999999999995</v>
      </c>
      <c r="L7" s="5">
        <v>0.73199999999999998</v>
      </c>
      <c r="M7" s="5">
        <v>0.77300000000000002</v>
      </c>
      <c r="N7" s="5">
        <v>0.79300000000000004</v>
      </c>
      <c r="O7" s="5">
        <v>0.81799999999999995</v>
      </c>
      <c r="P7" s="5">
        <v>0.84499999999999997</v>
      </c>
      <c r="Q7" s="5">
        <v>0.873</v>
      </c>
      <c r="R7" s="5">
        <v>0.89300000000000002</v>
      </c>
      <c r="S7" s="5">
        <v>0.91700000000000004</v>
      </c>
      <c r="T7" s="5">
        <v>0.94799999999999995</v>
      </c>
      <c r="U7" s="5">
        <v>0.96399999999999997</v>
      </c>
      <c r="V7" s="5">
        <v>0.97899999999999998</v>
      </c>
      <c r="W7" s="5">
        <v>0.98499999999999999</v>
      </c>
      <c r="X7" s="5">
        <v>0.98399999999999999</v>
      </c>
      <c r="Y7" s="5">
        <v>0.98199999999999998</v>
      </c>
      <c r="Z7" s="5">
        <v>1.0069999999999999</v>
      </c>
      <c r="AA7" s="5">
        <v>1.0149999999999999</v>
      </c>
      <c r="AB7" s="5">
        <v>1.0189999999999999</v>
      </c>
      <c r="AC7" s="5">
        <v>1.034</v>
      </c>
      <c r="AD7" s="5">
        <v>29.248999999999999</v>
      </c>
    </row>
    <row r="8" spans="1:30" ht="16.5" customHeight="1" x14ac:dyDescent="0.3">
      <c r="A8" s="12"/>
      <c r="B8" s="12"/>
      <c r="C8" s="12"/>
      <c r="D8" s="1">
        <v>5</v>
      </c>
      <c r="E8" s="5">
        <v>0.29399999999999998</v>
      </c>
      <c r="F8" s="5">
        <v>0.36599999999999999</v>
      </c>
      <c r="G8" s="5">
        <v>0.45200000000000001</v>
      </c>
      <c r="H8" s="5">
        <v>0.53400000000000003</v>
      </c>
      <c r="I8" s="5">
        <v>0.60399999999999998</v>
      </c>
      <c r="J8" s="5">
        <v>0.65300000000000002</v>
      </c>
      <c r="K8" s="5">
        <v>0.69699999999999995</v>
      </c>
      <c r="L8" s="5">
        <v>0.73599999999999999</v>
      </c>
      <c r="M8" s="5">
        <v>0.76900000000000002</v>
      </c>
      <c r="N8" s="5">
        <v>0.79400000000000004</v>
      </c>
      <c r="O8" s="5">
        <v>0.82299999999999995</v>
      </c>
      <c r="P8" s="5">
        <v>0.84399999999999997</v>
      </c>
      <c r="Q8" s="5">
        <v>0.874</v>
      </c>
      <c r="R8" s="5">
        <v>0.89500000000000002</v>
      </c>
      <c r="S8" s="5">
        <v>0.91300000000000003</v>
      </c>
      <c r="T8" s="5">
        <v>0.93400000000000005</v>
      </c>
      <c r="U8" s="5">
        <v>0.95699999999999996</v>
      </c>
      <c r="V8" s="5">
        <v>0.95399999999999996</v>
      </c>
      <c r="W8" s="5">
        <v>0.96199999999999997</v>
      </c>
      <c r="X8" s="5">
        <v>0.96599999999999997</v>
      </c>
      <c r="Y8" s="5">
        <v>0.98199999999999998</v>
      </c>
      <c r="Z8" s="5">
        <v>1</v>
      </c>
      <c r="AA8" s="5">
        <v>1.0009999999999999</v>
      </c>
      <c r="AB8" s="5">
        <v>0.98599999999999999</v>
      </c>
      <c r="AC8" s="5">
        <v>0.999</v>
      </c>
      <c r="AD8" s="5">
        <v>29.209</v>
      </c>
    </row>
    <row r="9" spans="1:30" ht="16.5" customHeight="1" x14ac:dyDescent="0.3">
      <c r="A9" s="12"/>
      <c r="B9" s="12"/>
      <c r="C9" s="12"/>
      <c r="D9" s="1">
        <v>6</v>
      </c>
      <c r="E9" s="5">
        <v>0.30599999999999999</v>
      </c>
      <c r="F9" s="5">
        <v>0.372</v>
      </c>
      <c r="G9" s="5">
        <v>0.46300000000000002</v>
      </c>
      <c r="H9" s="5">
        <v>0.53800000000000003</v>
      </c>
      <c r="I9" s="5">
        <v>0.60499999999999998</v>
      </c>
      <c r="J9" s="5">
        <v>0.65900000000000003</v>
      </c>
      <c r="K9" s="5">
        <v>0.70199999999999996</v>
      </c>
      <c r="L9" s="5">
        <v>0.73899999999999999</v>
      </c>
      <c r="M9" s="5">
        <v>0.77200000000000002</v>
      </c>
      <c r="N9" s="5">
        <v>0.79600000000000004</v>
      </c>
      <c r="O9" s="5">
        <v>0.82499999999999996</v>
      </c>
      <c r="P9" s="5">
        <v>0.84899999999999998</v>
      </c>
      <c r="Q9" s="5">
        <v>0.872</v>
      </c>
      <c r="R9" s="5">
        <v>0.89100000000000001</v>
      </c>
      <c r="S9" s="5">
        <v>0.92200000000000004</v>
      </c>
      <c r="T9" s="5">
        <v>0.95499999999999996</v>
      </c>
      <c r="U9" s="5">
        <v>0.96399999999999997</v>
      </c>
      <c r="V9" s="5">
        <v>0.97799999999999998</v>
      </c>
      <c r="W9" s="5">
        <v>0.97699999999999998</v>
      </c>
      <c r="X9" s="5">
        <v>0.98899999999999999</v>
      </c>
      <c r="Y9" s="5">
        <v>1.0109999999999999</v>
      </c>
      <c r="Z9" s="5">
        <v>1.0149999999999999</v>
      </c>
      <c r="AA9" s="5">
        <v>0.999</v>
      </c>
      <c r="AB9" s="5">
        <v>1.0149999999999999</v>
      </c>
      <c r="AC9" s="5">
        <v>1.034</v>
      </c>
      <c r="AD9" s="5">
        <v>29.241</v>
      </c>
    </row>
    <row r="10" spans="1:30" ht="16.5" customHeight="1" x14ac:dyDescent="0.3">
      <c r="A10" s="12"/>
      <c r="B10" s="12"/>
      <c r="C10" s="12"/>
      <c r="D10" s="1">
        <v>7</v>
      </c>
      <c r="E10" s="5">
        <v>0.29299999999999998</v>
      </c>
      <c r="F10" s="5">
        <v>0.36399999999999999</v>
      </c>
      <c r="G10" s="5">
        <v>0.45100000000000001</v>
      </c>
      <c r="H10" s="5">
        <v>0.53300000000000003</v>
      </c>
      <c r="I10" s="5">
        <v>0.60199999999999998</v>
      </c>
      <c r="J10" s="5">
        <v>0.65500000000000003</v>
      </c>
      <c r="K10" s="5">
        <v>0.69699999999999995</v>
      </c>
      <c r="L10" s="5">
        <v>0.73599999999999999</v>
      </c>
      <c r="M10" s="5">
        <v>0.76500000000000001</v>
      </c>
      <c r="N10" s="5">
        <v>0.79</v>
      </c>
      <c r="O10" s="5">
        <v>0.81599999999999995</v>
      </c>
      <c r="P10" s="5">
        <v>0.84099999999999997</v>
      </c>
      <c r="Q10" s="5">
        <v>0.86399999999999999</v>
      </c>
      <c r="R10" s="5">
        <v>0.88800000000000001</v>
      </c>
      <c r="S10" s="5">
        <v>0.90500000000000003</v>
      </c>
      <c r="T10" s="5">
        <v>0.93100000000000005</v>
      </c>
      <c r="U10" s="5">
        <v>0.96199999999999997</v>
      </c>
      <c r="V10" s="5">
        <v>0.97199999999999998</v>
      </c>
      <c r="W10" s="5">
        <v>0.998</v>
      </c>
      <c r="X10" s="5">
        <v>0.97699999999999998</v>
      </c>
      <c r="Y10" s="5">
        <v>1.042</v>
      </c>
      <c r="Z10" s="5">
        <v>0.999</v>
      </c>
      <c r="AA10" s="5">
        <v>1.0009999999999999</v>
      </c>
      <c r="AB10" s="5">
        <v>0.995</v>
      </c>
      <c r="AC10" s="5">
        <v>0.996</v>
      </c>
      <c r="AD10" s="5">
        <v>29.26</v>
      </c>
    </row>
    <row r="11" spans="1:30" ht="16.5" customHeight="1" x14ac:dyDescent="0.3">
      <c r="A11" s="12"/>
      <c r="B11" s="12"/>
      <c r="C11" s="12"/>
      <c r="D11" s="1">
        <v>8</v>
      </c>
      <c r="E11" s="5">
        <v>0.28799999999999998</v>
      </c>
      <c r="F11" s="5">
        <v>0.36899999999999999</v>
      </c>
      <c r="G11" s="5">
        <v>0.45500000000000002</v>
      </c>
      <c r="H11" s="5">
        <v>0.54500000000000004</v>
      </c>
      <c r="I11" s="5">
        <v>0.61399999999999999</v>
      </c>
      <c r="J11" s="5">
        <v>0.66300000000000003</v>
      </c>
      <c r="K11" s="5">
        <v>0.70399999999999996</v>
      </c>
      <c r="L11" s="5">
        <v>0.74399999999999999</v>
      </c>
      <c r="M11" s="5">
        <v>0.77400000000000002</v>
      </c>
      <c r="N11" s="5">
        <v>0.80300000000000005</v>
      </c>
      <c r="O11" s="5">
        <v>0.83299999999999996</v>
      </c>
      <c r="P11" s="5">
        <v>0.85699999999999998</v>
      </c>
      <c r="Q11" s="5">
        <v>0.88300000000000001</v>
      </c>
      <c r="R11" s="5">
        <v>0.89800000000000002</v>
      </c>
      <c r="S11" s="5">
        <v>0.92400000000000004</v>
      </c>
      <c r="T11" s="5">
        <v>0.94199999999999995</v>
      </c>
      <c r="U11" s="5">
        <v>0.96099999999999997</v>
      </c>
      <c r="V11" s="5">
        <v>0.98499999999999999</v>
      </c>
      <c r="W11" s="5">
        <v>0.99099999999999999</v>
      </c>
      <c r="X11" s="5">
        <v>1.008</v>
      </c>
      <c r="Y11" s="5">
        <v>1</v>
      </c>
      <c r="Z11" s="5">
        <v>1.028</v>
      </c>
      <c r="AA11" s="5">
        <v>0.98899999999999999</v>
      </c>
      <c r="AB11" s="5">
        <v>0.99399999999999999</v>
      </c>
      <c r="AC11" s="5">
        <v>1.014</v>
      </c>
      <c r="AD11" s="5">
        <v>29.334</v>
      </c>
    </row>
    <row r="12" spans="1:30" ht="16.5" customHeight="1" x14ac:dyDescent="0.3">
      <c r="A12" s="12"/>
      <c r="B12" s="12"/>
      <c r="C12" s="12"/>
      <c r="D12" s="1">
        <v>9</v>
      </c>
      <c r="E12" s="5">
        <v>0.28599999999999998</v>
      </c>
      <c r="F12" s="5">
        <v>0.36199999999999999</v>
      </c>
      <c r="G12" s="5">
        <v>0.45300000000000001</v>
      </c>
      <c r="H12" s="5">
        <v>0.53</v>
      </c>
      <c r="I12" s="5">
        <v>0.6</v>
      </c>
      <c r="J12" s="5">
        <v>0.65800000000000003</v>
      </c>
      <c r="K12" s="5">
        <v>0.69899999999999995</v>
      </c>
      <c r="L12" s="5">
        <v>0.73399999999999999</v>
      </c>
      <c r="M12" s="5">
        <v>0.76800000000000002</v>
      </c>
      <c r="N12" s="5">
        <v>0.79200000000000004</v>
      </c>
      <c r="O12" s="5">
        <v>0.81399999999999995</v>
      </c>
      <c r="P12" s="5">
        <v>0.83799999999999997</v>
      </c>
      <c r="Q12" s="5">
        <v>0.86</v>
      </c>
      <c r="R12" s="5">
        <v>0.88700000000000001</v>
      </c>
      <c r="S12" s="5">
        <v>0.92100000000000004</v>
      </c>
      <c r="T12" s="5">
        <v>0.93100000000000005</v>
      </c>
      <c r="U12" s="5">
        <v>0.95799999999999996</v>
      </c>
      <c r="V12" s="5">
        <v>0.96499999999999997</v>
      </c>
      <c r="W12" s="5">
        <v>0.96599999999999997</v>
      </c>
      <c r="X12" s="5">
        <v>0.96799999999999997</v>
      </c>
      <c r="Y12" s="5">
        <v>0.98</v>
      </c>
      <c r="Z12" s="5">
        <v>0.96799999999999997</v>
      </c>
      <c r="AA12" s="5">
        <v>0.98599999999999999</v>
      </c>
      <c r="AB12" s="5">
        <v>0.99099999999999999</v>
      </c>
      <c r="AC12" s="5">
        <v>0.98899999999999999</v>
      </c>
      <c r="AD12" s="5">
        <v>29.3</v>
      </c>
    </row>
    <row r="13" spans="1:30" ht="16.5" customHeight="1" x14ac:dyDescent="0.3">
      <c r="A13" s="12"/>
      <c r="B13" s="12"/>
      <c r="C13" s="12"/>
      <c r="D13" s="1">
        <v>10</v>
      </c>
      <c r="E13" s="5">
        <v>0.30599999999999999</v>
      </c>
      <c r="F13" s="5">
        <v>0.37</v>
      </c>
      <c r="G13" s="5">
        <v>0.45500000000000002</v>
      </c>
      <c r="H13" s="5">
        <v>0.54</v>
      </c>
      <c r="I13" s="5">
        <v>0.60899999999999999</v>
      </c>
      <c r="J13" s="5">
        <v>0.66600000000000004</v>
      </c>
      <c r="K13" s="5">
        <v>0.70399999999999996</v>
      </c>
      <c r="L13" s="5">
        <v>0.74399999999999999</v>
      </c>
      <c r="M13" s="5">
        <v>0.78100000000000003</v>
      </c>
      <c r="N13" s="5">
        <v>0.80700000000000005</v>
      </c>
      <c r="O13" s="5">
        <v>0.82399999999999995</v>
      </c>
      <c r="P13" s="5">
        <v>0.84699999999999998</v>
      </c>
      <c r="Q13" s="5">
        <v>0.86699999999999999</v>
      </c>
      <c r="R13" s="5">
        <v>0.89100000000000001</v>
      </c>
      <c r="S13" s="5">
        <v>0.90900000000000003</v>
      </c>
      <c r="T13" s="5">
        <v>0.93600000000000005</v>
      </c>
      <c r="U13" s="5">
        <v>0.96399999999999997</v>
      </c>
      <c r="V13" s="5">
        <v>0.98</v>
      </c>
      <c r="W13" s="5">
        <v>0.96799999999999997</v>
      </c>
      <c r="X13" s="5">
        <v>0.96799999999999997</v>
      </c>
      <c r="Y13" s="5">
        <v>0.99299999999999999</v>
      </c>
      <c r="Z13" s="5">
        <v>1.016</v>
      </c>
      <c r="AA13" s="5">
        <v>1.0189999999999999</v>
      </c>
      <c r="AB13" s="5">
        <v>1.0029999999999999</v>
      </c>
      <c r="AC13" s="5">
        <v>1.034</v>
      </c>
      <c r="AD13" s="5">
        <v>29.280999999999999</v>
      </c>
    </row>
    <row r="14" spans="1:30" ht="16.5" customHeight="1" x14ac:dyDescent="0.3">
      <c r="A14" s="12"/>
      <c r="B14" s="12"/>
      <c r="C14" s="12"/>
      <c r="D14" s="1">
        <v>11</v>
      </c>
      <c r="E14" s="5">
        <v>0.33300000000000002</v>
      </c>
      <c r="F14" s="5">
        <v>0.36599999999999999</v>
      </c>
      <c r="G14" s="5">
        <v>0.45500000000000002</v>
      </c>
      <c r="H14" s="5">
        <v>0.54200000000000004</v>
      </c>
      <c r="I14" s="5">
        <v>0.60499999999999998</v>
      </c>
      <c r="J14" s="5">
        <v>0.65700000000000003</v>
      </c>
      <c r="K14" s="5">
        <v>0.69899999999999995</v>
      </c>
      <c r="L14" s="5">
        <v>0.74299999999999999</v>
      </c>
      <c r="M14" s="5">
        <v>0.77200000000000002</v>
      </c>
      <c r="N14" s="5">
        <v>0.80300000000000005</v>
      </c>
      <c r="O14" s="5">
        <v>0.82399999999999995</v>
      </c>
      <c r="P14" s="5">
        <v>0.84799999999999998</v>
      </c>
      <c r="Q14" s="5">
        <v>0.879</v>
      </c>
      <c r="R14" s="5">
        <v>0.89300000000000002</v>
      </c>
      <c r="S14" s="5">
        <v>0.91600000000000004</v>
      </c>
      <c r="T14" s="5">
        <v>0.93500000000000005</v>
      </c>
      <c r="U14" s="5">
        <v>0.95699999999999996</v>
      </c>
      <c r="V14" s="5">
        <v>0.96799999999999997</v>
      </c>
      <c r="W14" s="5">
        <v>0.97</v>
      </c>
      <c r="X14" s="5">
        <v>0.96399999999999997</v>
      </c>
      <c r="Y14" s="5">
        <v>0.97099999999999997</v>
      </c>
      <c r="Z14" s="5">
        <v>1.0029999999999999</v>
      </c>
      <c r="AA14" s="5">
        <v>0.996</v>
      </c>
      <c r="AB14" s="5">
        <v>0.98199999999999998</v>
      </c>
      <c r="AC14" s="5">
        <v>1.0069999999999999</v>
      </c>
      <c r="AD14" s="5">
        <v>29.282</v>
      </c>
    </row>
    <row r="15" spans="1:30" ht="16.5" customHeight="1" x14ac:dyDescent="0.3">
      <c r="A15" s="12"/>
      <c r="B15" s="12"/>
      <c r="C15" s="12"/>
      <c r="D15" s="1">
        <v>12</v>
      </c>
      <c r="E15" s="5">
        <v>0.28699999999999998</v>
      </c>
      <c r="F15" s="5">
        <v>0.36699999999999999</v>
      </c>
      <c r="G15" s="5">
        <v>0.45200000000000001</v>
      </c>
      <c r="H15" s="5">
        <v>0.53700000000000003</v>
      </c>
      <c r="I15" s="5">
        <v>0.60899999999999999</v>
      </c>
      <c r="J15" s="5">
        <v>0.66200000000000003</v>
      </c>
      <c r="K15" s="5">
        <v>0.7</v>
      </c>
      <c r="L15" s="5">
        <v>0.73799999999999999</v>
      </c>
      <c r="M15" s="5">
        <v>0.77600000000000002</v>
      </c>
      <c r="N15" s="5">
        <v>0.80300000000000005</v>
      </c>
      <c r="O15" s="5">
        <v>0.82899999999999996</v>
      </c>
      <c r="P15" s="5">
        <v>0.83899999999999997</v>
      </c>
      <c r="Q15" s="5">
        <v>0.871</v>
      </c>
      <c r="R15" s="5">
        <v>0.88900000000000001</v>
      </c>
      <c r="S15" s="5">
        <v>0.90900000000000003</v>
      </c>
      <c r="T15" s="5">
        <v>0.93200000000000005</v>
      </c>
      <c r="U15" s="5">
        <v>0.95099999999999996</v>
      </c>
      <c r="V15" s="5">
        <v>0.95699999999999996</v>
      </c>
      <c r="W15" s="5">
        <v>0.96299999999999997</v>
      </c>
      <c r="X15" s="5">
        <v>0.97199999999999998</v>
      </c>
      <c r="Y15" s="5">
        <v>1.0049999999999999</v>
      </c>
      <c r="Z15" s="5">
        <v>1.008</v>
      </c>
      <c r="AA15" s="5">
        <v>1.006</v>
      </c>
      <c r="AB15" s="5">
        <v>0.98799999999999999</v>
      </c>
      <c r="AC15" s="5">
        <v>1.0269999999999999</v>
      </c>
      <c r="AD15" s="5">
        <v>29.222999999999999</v>
      </c>
    </row>
    <row r="16" spans="1:30" ht="16.5" customHeight="1" x14ac:dyDescent="0.3">
      <c r="A16" s="12"/>
      <c r="B16" s="12"/>
      <c r="C16" s="12"/>
      <c r="D16" s="1">
        <v>13</v>
      </c>
      <c r="E16" s="5">
        <v>0.27400000000000002</v>
      </c>
      <c r="F16" s="5">
        <v>0.35699999999999998</v>
      </c>
      <c r="G16" s="5">
        <v>0.44</v>
      </c>
      <c r="H16" s="5">
        <v>0.52200000000000002</v>
      </c>
      <c r="I16" s="5">
        <v>0.58799999999999997</v>
      </c>
      <c r="J16" s="5">
        <v>0.64400000000000002</v>
      </c>
      <c r="K16" s="5">
        <v>0.68200000000000005</v>
      </c>
      <c r="L16" s="5">
        <v>0.72799999999999998</v>
      </c>
      <c r="M16" s="5">
        <v>0.75600000000000001</v>
      </c>
      <c r="N16" s="5">
        <v>0.79300000000000004</v>
      </c>
      <c r="O16" s="5">
        <v>0.81100000000000005</v>
      </c>
      <c r="P16" s="5">
        <v>0.83499999999999996</v>
      </c>
      <c r="Q16" s="5">
        <v>0.85499999999999998</v>
      </c>
      <c r="R16" s="5">
        <v>0.88</v>
      </c>
      <c r="S16" s="5">
        <v>0.90300000000000002</v>
      </c>
      <c r="T16" s="5">
        <v>0.92700000000000005</v>
      </c>
      <c r="U16" s="5">
        <v>0.94899999999999995</v>
      </c>
      <c r="V16" s="5">
        <v>0.96099999999999997</v>
      </c>
      <c r="W16" s="5">
        <v>0.96599999999999997</v>
      </c>
      <c r="X16" s="5">
        <v>0.97399999999999998</v>
      </c>
      <c r="Y16" s="5">
        <v>0.97499999999999998</v>
      </c>
      <c r="Z16" s="5">
        <v>0.98099999999999998</v>
      </c>
      <c r="AA16" s="5">
        <v>0.97599999999999998</v>
      </c>
      <c r="AB16" s="5">
        <v>0.98299999999999998</v>
      </c>
      <c r="AC16" s="5">
        <v>0.99299999999999999</v>
      </c>
      <c r="AD16" s="5">
        <v>29.257000000000001</v>
      </c>
    </row>
    <row r="17" spans="1:30" ht="16.5" customHeight="1" x14ac:dyDescent="0.3">
      <c r="A17" s="12"/>
      <c r="B17" s="12"/>
      <c r="C17" s="12"/>
      <c r="D17" s="1">
        <v>14</v>
      </c>
      <c r="E17" s="5">
        <v>0.34</v>
      </c>
      <c r="F17" s="5">
        <v>0.36699999999999999</v>
      </c>
      <c r="G17" s="5">
        <v>0.45200000000000001</v>
      </c>
      <c r="H17" s="5">
        <v>0.53400000000000003</v>
      </c>
      <c r="I17" s="5">
        <v>0.60499999999999998</v>
      </c>
      <c r="J17" s="5">
        <v>0.65600000000000003</v>
      </c>
      <c r="K17" s="5">
        <v>0.69699999999999995</v>
      </c>
      <c r="L17" s="5">
        <v>0.73399999999999999</v>
      </c>
      <c r="M17" s="5">
        <v>0.77</v>
      </c>
      <c r="N17" s="5">
        <v>0.79800000000000004</v>
      </c>
      <c r="O17" s="5">
        <v>0.82399999999999995</v>
      </c>
      <c r="P17" s="5">
        <v>0.84499999999999997</v>
      </c>
      <c r="Q17" s="5">
        <v>0.876</v>
      </c>
      <c r="R17" s="5">
        <v>0.89900000000000002</v>
      </c>
      <c r="S17" s="5">
        <v>0.92200000000000004</v>
      </c>
      <c r="T17" s="5">
        <v>0.94299999999999995</v>
      </c>
      <c r="U17" s="5">
        <v>0.96599999999999997</v>
      </c>
      <c r="V17" s="5">
        <v>0.98299999999999998</v>
      </c>
      <c r="W17" s="5">
        <v>0.97</v>
      </c>
      <c r="X17" s="5">
        <v>0.96299999999999997</v>
      </c>
      <c r="Y17" s="5">
        <v>0.96399999999999997</v>
      </c>
      <c r="Z17" s="5">
        <v>0.98099999999999998</v>
      </c>
      <c r="AA17" s="5">
        <v>0.996</v>
      </c>
      <c r="AB17" s="5">
        <v>0.99299999999999999</v>
      </c>
      <c r="AC17" s="5">
        <v>1.002</v>
      </c>
      <c r="AD17" s="5">
        <v>29.184000000000001</v>
      </c>
    </row>
    <row r="18" spans="1:30" ht="16.5" customHeight="1" x14ac:dyDescent="0.3">
      <c r="A18" s="12"/>
      <c r="B18" s="12"/>
      <c r="C18" s="12"/>
      <c r="D18" s="1">
        <v>15</v>
      </c>
      <c r="E18" s="5">
        <v>0.29799999999999999</v>
      </c>
      <c r="F18" s="5">
        <v>0.36</v>
      </c>
      <c r="G18" s="5">
        <v>0.44500000000000001</v>
      </c>
      <c r="H18" s="5">
        <v>0.52600000000000002</v>
      </c>
      <c r="I18" s="5">
        <v>0.59899999999999998</v>
      </c>
      <c r="J18" s="5">
        <v>0.65500000000000003</v>
      </c>
      <c r="K18" s="5">
        <v>0.69499999999999995</v>
      </c>
      <c r="L18" s="5">
        <v>0.73599999999999999</v>
      </c>
      <c r="M18" s="5">
        <v>0.76200000000000001</v>
      </c>
      <c r="N18" s="5">
        <v>0.78900000000000003</v>
      </c>
      <c r="O18" s="5">
        <v>0.81</v>
      </c>
      <c r="P18" s="5">
        <v>0.83099999999999996</v>
      </c>
      <c r="Q18" s="5">
        <v>0.86</v>
      </c>
      <c r="R18" s="5">
        <v>0.88600000000000001</v>
      </c>
      <c r="S18" s="5">
        <v>0.90600000000000003</v>
      </c>
      <c r="T18" s="5">
        <v>0.93899999999999995</v>
      </c>
      <c r="U18" s="5">
        <v>0.96599999999999997</v>
      </c>
      <c r="V18" s="5">
        <v>0.97099999999999997</v>
      </c>
      <c r="W18" s="5">
        <v>0.97399999999999998</v>
      </c>
      <c r="X18" s="5">
        <v>0.97599999999999998</v>
      </c>
      <c r="Y18" s="5">
        <v>1</v>
      </c>
      <c r="Z18" s="5">
        <v>0.99299999999999999</v>
      </c>
      <c r="AA18" s="5">
        <v>0.997</v>
      </c>
      <c r="AB18" s="5">
        <v>1.004</v>
      </c>
      <c r="AC18" s="5">
        <v>1.022</v>
      </c>
      <c r="AD18" s="5">
        <v>29.245000000000001</v>
      </c>
    </row>
    <row r="19" spans="1:30" ht="16.5" customHeight="1" x14ac:dyDescent="0.3">
      <c r="A19" s="12"/>
      <c r="B19" s="12"/>
      <c r="C19" s="12"/>
      <c r="D19" s="1">
        <v>16</v>
      </c>
      <c r="E19" s="5">
        <v>0.29199999999999998</v>
      </c>
      <c r="F19" s="5">
        <v>0.36499999999999999</v>
      </c>
      <c r="G19" s="5">
        <v>0.44900000000000001</v>
      </c>
      <c r="H19" s="5">
        <v>0.53200000000000003</v>
      </c>
      <c r="I19" s="5">
        <v>0.61</v>
      </c>
      <c r="J19" s="5">
        <v>0.66100000000000003</v>
      </c>
      <c r="K19" s="5">
        <v>0.69899999999999995</v>
      </c>
      <c r="L19" s="5">
        <v>0.74199999999999999</v>
      </c>
      <c r="M19" s="5">
        <v>0.77400000000000002</v>
      </c>
      <c r="N19" s="5">
        <v>0.81100000000000005</v>
      </c>
      <c r="O19" s="5">
        <v>0.82099999999999995</v>
      </c>
      <c r="P19" s="5">
        <v>0.84799999999999998</v>
      </c>
      <c r="Q19" s="5">
        <v>0.88</v>
      </c>
      <c r="R19" s="5">
        <v>0.91800000000000004</v>
      </c>
      <c r="S19" s="5">
        <v>0.93300000000000005</v>
      </c>
      <c r="T19" s="5">
        <v>0.95</v>
      </c>
      <c r="U19" s="5">
        <v>0.97799999999999998</v>
      </c>
      <c r="V19" s="5">
        <v>0.98499999999999999</v>
      </c>
      <c r="W19" s="5">
        <v>0.97199999999999998</v>
      </c>
      <c r="X19" s="5">
        <v>0.98799999999999999</v>
      </c>
      <c r="Y19" s="5">
        <v>0.97099999999999997</v>
      </c>
      <c r="Z19" s="5">
        <v>0.98299999999999998</v>
      </c>
      <c r="AA19" s="5">
        <v>0.97399999999999998</v>
      </c>
      <c r="AB19" s="5">
        <v>0.97499999999999998</v>
      </c>
      <c r="AC19" s="5">
        <v>0.99399999999999999</v>
      </c>
      <c r="AD19" s="5">
        <v>29.3</v>
      </c>
    </row>
    <row r="20" spans="1:30" ht="16.5" customHeight="1" x14ac:dyDescent="0.3">
      <c r="A20" s="12"/>
      <c r="B20" s="12"/>
      <c r="C20" s="12"/>
      <c r="D20" s="1">
        <v>17</v>
      </c>
      <c r="E20" s="5">
        <v>0.28899999999999998</v>
      </c>
      <c r="F20" s="5">
        <v>0.371</v>
      </c>
      <c r="G20" s="5">
        <v>0.46400000000000002</v>
      </c>
      <c r="H20" s="5">
        <v>0.54</v>
      </c>
      <c r="I20" s="5">
        <v>0.60899999999999999</v>
      </c>
      <c r="J20" s="5">
        <v>0.65900000000000003</v>
      </c>
      <c r="K20" s="5">
        <v>0.70499999999999996</v>
      </c>
      <c r="L20" s="5">
        <v>0.74299999999999999</v>
      </c>
      <c r="M20" s="5">
        <v>0.77500000000000002</v>
      </c>
      <c r="N20" s="5">
        <v>0.83099999999999996</v>
      </c>
      <c r="O20" s="5">
        <v>0.84299999999999997</v>
      </c>
      <c r="P20" s="5">
        <v>0.86399999999999999</v>
      </c>
      <c r="Q20" s="5">
        <v>0.88800000000000001</v>
      </c>
      <c r="R20" s="5">
        <v>0.90700000000000003</v>
      </c>
      <c r="S20" s="5">
        <v>0.92100000000000004</v>
      </c>
      <c r="T20" s="5">
        <v>0.94499999999999995</v>
      </c>
      <c r="U20" s="5">
        <v>0.97099999999999997</v>
      </c>
      <c r="V20" s="5">
        <v>0.97199999999999998</v>
      </c>
      <c r="W20" s="5">
        <v>0.97</v>
      </c>
      <c r="X20" s="5">
        <v>0.98399999999999999</v>
      </c>
      <c r="Y20" s="5">
        <v>0.97399999999999998</v>
      </c>
      <c r="Z20" s="5">
        <v>0.995</v>
      </c>
      <c r="AA20" s="5">
        <v>1.0049999999999999</v>
      </c>
      <c r="AB20" s="5">
        <v>1.004</v>
      </c>
      <c r="AC20" s="5">
        <v>1.0249999999999999</v>
      </c>
      <c r="AD20" s="5">
        <v>29.161999999999999</v>
      </c>
    </row>
    <row r="21" spans="1:30" ht="16.5" customHeight="1" x14ac:dyDescent="0.3">
      <c r="A21" s="12"/>
      <c r="B21" s="12"/>
      <c r="C21" s="12"/>
      <c r="D21" s="1">
        <v>18</v>
      </c>
      <c r="E21" s="5">
        <v>0.30399999999999999</v>
      </c>
      <c r="F21" s="5">
        <v>0.36199999999999999</v>
      </c>
      <c r="G21" s="5">
        <v>0.44800000000000001</v>
      </c>
      <c r="H21" s="5">
        <v>0.53</v>
      </c>
      <c r="I21" s="5">
        <v>0.59799999999999998</v>
      </c>
      <c r="J21" s="5">
        <v>0.65400000000000003</v>
      </c>
      <c r="K21" s="5">
        <v>0.69799999999999995</v>
      </c>
      <c r="L21" s="5">
        <v>0.73499999999999999</v>
      </c>
      <c r="M21" s="5">
        <v>0.76800000000000002</v>
      </c>
      <c r="N21" s="5">
        <v>0.79200000000000004</v>
      </c>
      <c r="O21" s="5">
        <v>0.82199999999999995</v>
      </c>
      <c r="P21" s="5">
        <v>0.83799999999999997</v>
      </c>
      <c r="Q21" s="5">
        <v>0.86399999999999999</v>
      </c>
      <c r="R21" s="5">
        <v>0.89100000000000001</v>
      </c>
      <c r="S21" s="5">
        <v>0.91600000000000004</v>
      </c>
      <c r="T21" s="5">
        <v>0.94</v>
      </c>
      <c r="U21" s="5">
        <v>0.96699999999999997</v>
      </c>
      <c r="V21" s="5">
        <v>0.95699999999999996</v>
      </c>
      <c r="W21" s="5">
        <v>0.95399999999999996</v>
      </c>
      <c r="X21" s="5">
        <v>0.96499999999999997</v>
      </c>
      <c r="Y21" s="5">
        <v>0.96799999999999997</v>
      </c>
      <c r="Z21" s="5">
        <v>0.97599999999999998</v>
      </c>
      <c r="AA21" s="5">
        <v>1</v>
      </c>
      <c r="AB21" s="5">
        <v>1.0209999999999999</v>
      </c>
      <c r="AC21" s="5">
        <v>1.0209999999999999</v>
      </c>
      <c r="AD21" s="5">
        <v>29.152000000000001</v>
      </c>
    </row>
    <row r="22" spans="1:30" ht="16.5" customHeight="1" x14ac:dyDescent="0.3">
      <c r="A22" s="12"/>
      <c r="B22" s="12"/>
      <c r="C22" s="12"/>
      <c r="D22" s="1">
        <v>19</v>
      </c>
      <c r="E22" s="5">
        <v>0.38100000000000001</v>
      </c>
      <c r="F22" s="5">
        <v>0.39100000000000001</v>
      </c>
      <c r="G22" s="5">
        <v>0.49399999999999999</v>
      </c>
      <c r="H22" s="5">
        <v>0.55800000000000005</v>
      </c>
      <c r="I22" s="5">
        <v>0.623</v>
      </c>
      <c r="J22" s="5">
        <v>0.67100000000000004</v>
      </c>
      <c r="K22" s="5">
        <v>0.70299999999999996</v>
      </c>
      <c r="L22" s="5">
        <v>0.74399999999999999</v>
      </c>
      <c r="M22" s="5">
        <v>0.78400000000000003</v>
      </c>
      <c r="N22" s="5">
        <v>0.81499999999999995</v>
      </c>
      <c r="O22" s="5">
        <v>0.82599999999999996</v>
      </c>
      <c r="P22" s="5">
        <v>0.85</v>
      </c>
      <c r="Q22" s="5">
        <v>0.87</v>
      </c>
      <c r="R22" s="5">
        <v>0.89600000000000002</v>
      </c>
      <c r="S22" s="5">
        <v>0.93</v>
      </c>
      <c r="T22" s="5">
        <v>0.96</v>
      </c>
      <c r="U22" s="5">
        <v>0.97099999999999997</v>
      </c>
      <c r="V22" s="5">
        <v>0.97299999999999998</v>
      </c>
      <c r="W22" s="5">
        <v>0.98499999999999999</v>
      </c>
      <c r="X22" s="5">
        <v>0.99299999999999999</v>
      </c>
      <c r="Y22" s="5">
        <v>0.99399999999999999</v>
      </c>
      <c r="Z22" s="5">
        <v>0.98899999999999999</v>
      </c>
      <c r="AA22" s="5">
        <v>1.0009999999999999</v>
      </c>
      <c r="AB22" s="5">
        <v>1.01</v>
      </c>
      <c r="AC22" s="5">
        <v>1.032</v>
      </c>
      <c r="AD22" s="5">
        <v>29.077999999999999</v>
      </c>
    </row>
    <row r="23" spans="1:30" ht="16.5" customHeight="1" x14ac:dyDescent="0.3">
      <c r="A23" s="12"/>
      <c r="B23" s="12"/>
      <c r="C23" s="12"/>
      <c r="D23" s="1">
        <v>20</v>
      </c>
      <c r="E23" s="5">
        <v>0.29599999999999999</v>
      </c>
      <c r="F23" s="5">
        <v>0.372</v>
      </c>
      <c r="G23" s="5">
        <v>0.45900000000000002</v>
      </c>
      <c r="H23" s="5">
        <v>0.53600000000000003</v>
      </c>
      <c r="I23" s="5">
        <v>0.60299999999999998</v>
      </c>
      <c r="J23" s="5">
        <v>0.66</v>
      </c>
      <c r="K23" s="5">
        <v>0.70199999999999996</v>
      </c>
      <c r="L23" s="5">
        <v>0.74</v>
      </c>
      <c r="M23" s="5">
        <v>0.77</v>
      </c>
      <c r="N23" s="5">
        <v>0.83099999999999996</v>
      </c>
      <c r="O23" s="5">
        <v>0.83499999999999996</v>
      </c>
      <c r="P23" s="5">
        <v>0.85399999999999998</v>
      </c>
      <c r="Q23" s="5">
        <v>0.86899999999999999</v>
      </c>
      <c r="R23" s="5">
        <v>0.89800000000000002</v>
      </c>
      <c r="S23" s="5">
        <v>0.91300000000000003</v>
      </c>
      <c r="T23" s="5">
        <v>0.93799999999999994</v>
      </c>
      <c r="U23" s="5">
        <v>0.96099999999999997</v>
      </c>
      <c r="V23" s="5">
        <v>0.97199999999999998</v>
      </c>
      <c r="W23" s="5">
        <v>0.97899999999999998</v>
      </c>
      <c r="X23" s="5">
        <v>0.98</v>
      </c>
      <c r="Y23" s="5">
        <v>0.97499999999999998</v>
      </c>
      <c r="Z23" s="5">
        <v>0.98099999999999998</v>
      </c>
      <c r="AA23" s="5">
        <v>0.98599999999999999</v>
      </c>
      <c r="AB23" s="5">
        <v>0.98799999999999999</v>
      </c>
      <c r="AC23" s="5">
        <v>1.0029999999999999</v>
      </c>
      <c r="AD23" s="5">
        <v>29.254000000000001</v>
      </c>
    </row>
    <row r="24" spans="1:30" ht="16.5" customHeight="1" x14ac:dyDescent="0.3">
      <c r="A24" s="12"/>
      <c r="B24" s="12"/>
      <c r="C24" s="12"/>
      <c r="D24" s="1">
        <v>21</v>
      </c>
      <c r="E24" s="5">
        <v>0.27800000000000002</v>
      </c>
      <c r="F24" s="5">
        <v>0.35899999999999999</v>
      </c>
      <c r="G24" s="5">
        <v>0.44500000000000001</v>
      </c>
      <c r="H24" s="5">
        <v>0.53100000000000003</v>
      </c>
      <c r="I24" s="5">
        <v>0.62</v>
      </c>
      <c r="J24" s="5">
        <v>0.65600000000000003</v>
      </c>
      <c r="K24" s="5">
        <v>0.69099999999999995</v>
      </c>
      <c r="L24" s="5">
        <v>0.73399999999999999</v>
      </c>
      <c r="M24" s="5">
        <v>0.77500000000000002</v>
      </c>
      <c r="N24" s="5">
        <v>0.78900000000000003</v>
      </c>
      <c r="O24" s="5">
        <v>0.80600000000000005</v>
      </c>
      <c r="P24" s="5">
        <v>0.83899999999999997</v>
      </c>
      <c r="Q24" s="5">
        <v>0.874</v>
      </c>
      <c r="R24" s="5">
        <v>0.89200000000000002</v>
      </c>
      <c r="S24" s="5">
        <v>0.9</v>
      </c>
      <c r="T24" s="5">
        <v>0.92500000000000004</v>
      </c>
      <c r="U24" s="5">
        <v>0.95099999999999996</v>
      </c>
      <c r="V24" s="5">
        <v>0.95</v>
      </c>
      <c r="W24" s="5">
        <v>0.96199999999999997</v>
      </c>
      <c r="X24" s="5">
        <v>0.97299999999999998</v>
      </c>
      <c r="Y24" s="5">
        <v>0.98399999999999999</v>
      </c>
      <c r="Z24" s="5">
        <v>0.98199999999999998</v>
      </c>
      <c r="AA24" s="5">
        <v>0.98499999999999999</v>
      </c>
      <c r="AB24" s="5">
        <v>0.99299999999999999</v>
      </c>
      <c r="AC24" s="5">
        <v>1.022</v>
      </c>
      <c r="AD24" s="5">
        <v>29.594000000000001</v>
      </c>
    </row>
    <row r="25" spans="1:30" ht="16.5" customHeight="1" x14ac:dyDescent="0.3">
      <c r="A25" s="12"/>
      <c r="B25" s="12"/>
      <c r="C25" s="12"/>
      <c r="D25" s="1">
        <v>22</v>
      </c>
      <c r="E25" s="5">
        <v>0.27</v>
      </c>
      <c r="F25" s="5">
        <v>0.35099999999999998</v>
      </c>
      <c r="G25" s="5">
        <v>0.435</v>
      </c>
      <c r="H25" s="5">
        <v>0.51400000000000001</v>
      </c>
      <c r="I25" s="5">
        <v>0.59799999999999998</v>
      </c>
      <c r="J25" s="5">
        <v>0.64100000000000001</v>
      </c>
      <c r="K25" s="5">
        <v>0.68300000000000005</v>
      </c>
      <c r="L25" s="5">
        <v>0.72299999999999998</v>
      </c>
      <c r="M25" s="5">
        <v>0.76</v>
      </c>
      <c r="N25" s="5">
        <v>0.77700000000000002</v>
      </c>
      <c r="O25" s="5">
        <v>0.79100000000000004</v>
      </c>
      <c r="P25" s="5">
        <v>0.82499999999999996</v>
      </c>
      <c r="Q25" s="5">
        <v>0.85199999999999998</v>
      </c>
      <c r="R25" s="5">
        <v>0.86799999999999999</v>
      </c>
      <c r="S25" s="5">
        <v>0.88900000000000001</v>
      </c>
      <c r="T25" s="5">
        <v>0.92200000000000004</v>
      </c>
      <c r="U25" s="5">
        <v>0.94099999999999995</v>
      </c>
      <c r="V25" s="5">
        <v>0.94299999999999995</v>
      </c>
      <c r="W25" s="5">
        <v>0.96299999999999997</v>
      </c>
      <c r="X25" s="5">
        <v>0.95099999999999996</v>
      </c>
      <c r="Y25" s="5">
        <v>0.94099999999999995</v>
      </c>
      <c r="Z25" s="5">
        <v>0.96699999999999997</v>
      </c>
      <c r="AA25" s="5">
        <v>0.97399999999999998</v>
      </c>
      <c r="AB25" s="5">
        <v>0.95899999999999996</v>
      </c>
      <c r="AC25" s="5">
        <v>0.98499999999999999</v>
      </c>
      <c r="AD25" s="5">
        <v>29.696000000000002</v>
      </c>
    </row>
    <row r="26" spans="1:30" ht="16.5" customHeight="1" x14ac:dyDescent="0.3">
      <c r="A26" s="12"/>
      <c r="B26" s="12"/>
      <c r="C26" s="12"/>
      <c r="D26" s="1">
        <v>23</v>
      </c>
      <c r="E26" s="5">
        <v>0.28899999999999998</v>
      </c>
      <c r="F26" s="5">
        <v>0.36799999999999999</v>
      </c>
      <c r="G26" s="5">
        <v>0.45</v>
      </c>
      <c r="H26" s="5">
        <v>0.52800000000000002</v>
      </c>
      <c r="I26" s="5">
        <v>0.59799999999999998</v>
      </c>
      <c r="J26" s="5">
        <v>0.65200000000000002</v>
      </c>
      <c r="K26" s="5">
        <v>0.69199999999999995</v>
      </c>
      <c r="L26" s="5">
        <v>0.73499999999999999</v>
      </c>
      <c r="M26" s="5">
        <v>0.76200000000000001</v>
      </c>
      <c r="N26" s="5">
        <v>0.78900000000000003</v>
      </c>
      <c r="O26" s="5">
        <v>0.81</v>
      </c>
      <c r="P26" s="5">
        <v>0.83499999999999996</v>
      </c>
      <c r="Q26" s="5">
        <v>0.86099999999999999</v>
      </c>
      <c r="R26" s="5">
        <v>0.89</v>
      </c>
      <c r="S26" s="5">
        <v>0.90400000000000003</v>
      </c>
      <c r="T26" s="5">
        <v>0.93400000000000005</v>
      </c>
      <c r="U26" s="5">
        <v>0.96</v>
      </c>
      <c r="V26" s="5">
        <v>0.96799999999999997</v>
      </c>
      <c r="W26" s="5">
        <v>0.98199999999999998</v>
      </c>
      <c r="X26" s="5">
        <v>0.98099999999999998</v>
      </c>
      <c r="Y26" s="5">
        <v>0.98899999999999999</v>
      </c>
      <c r="Z26" s="5">
        <v>0.99</v>
      </c>
      <c r="AA26" s="5">
        <v>0.995</v>
      </c>
      <c r="AB26" s="5">
        <v>0.97099999999999997</v>
      </c>
      <c r="AC26" s="5">
        <v>0.995</v>
      </c>
      <c r="AD26" s="5">
        <v>29.31</v>
      </c>
    </row>
    <row r="27" spans="1:30" ht="16.5" customHeight="1" x14ac:dyDescent="0.3">
      <c r="A27" s="12"/>
      <c r="B27" s="12"/>
      <c r="C27" s="12"/>
      <c r="D27" s="1">
        <v>24</v>
      </c>
      <c r="E27" s="5">
        <v>0.28199999999999997</v>
      </c>
      <c r="F27" s="5">
        <v>0.36399999999999999</v>
      </c>
      <c r="G27" s="5">
        <v>0.45500000000000002</v>
      </c>
      <c r="H27" s="5">
        <v>0.54400000000000004</v>
      </c>
      <c r="I27" s="5">
        <v>0.60399999999999998</v>
      </c>
      <c r="J27" s="5">
        <v>0.64600000000000002</v>
      </c>
      <c r="K27" s="5">
        <v>0.69099999999999995</v>
      </c>
      <c r="L27" s="5">
        <v>0.73099999999999998</v>
      </c>
      <c r="M27" s="5">
        <v>0.76100000000000001</v>
      </c>
      <c r="N27" s="5">
        <v>0.78600000000000003</v>
      </c>
      <c r="O27" s="5">
        <v>0.81100000000000005</v>
      </c>
      <c r="P27" s="5">
        <v>0.83599999999999997</v>
      </c>
      <c r="Q27" s="5">
        <v>0.86399999999999999</v>
      </c>
      <c r="R27" s="5">
        <v>0.88700000000000001</v>
      </c>
      <c r="S27" s="5">
        <v>0.90900000000000003</v>
      </c>
      <c r="T27" s="5">
        <v>0.91600000000000004</v>
      </c>
      <c r="U27" s="5">
        <v>0.95099999999999996</v>
      </c>
      <c r="V27" s="5">
        <v>0.97499999999999998</v>
      </c>
      <c r="W27" s="5">
        <v>0.98099999999999998</v>
      </c>
      <c r="X27" s="5">
        <v>0.99</v>
      </c>
      <c r="Y27" s="5">
        <v>0.97799999999999998</v>
      </c>
      <c r="Z27" s="5">
        <v>1.0149999999999999</v>
      </c>
      <c r="AA27" s="5">
        <v>0.98899999999999999</v>
      </c>
      <c r="AB27" s="5">
        <v>0.99</v>
      </c>
      <c r="AC27" s="5">
        <v>1.026</v>
      </c>
      <c r="AD27" s="5">
        <v>29.568000000000001</v>
      </c>
    </row>
    <row r="28" spans="1:30" ht="16.5" customHeight="1" x14ac:dyDescent="0.3">
      <c r="A28" s="12"/>
      <c r="B28" s="12"/>
      <c r="C28" s="12"/>
      <c r="D28" s="1">
        <v>25</v>
      </c>
      <c r="E28" s="5">
        <v>0.28799999999999998</v>
      </c>
      <c r="F28" s="5">
        <v>0.374</v>
      </c>
      <c r="G28" s="5">
        <v>0.47</v>
      </c>
      <c r="H28" s="5">
        <v>0.55200000000000005</v>
      </c>
      <c r="I28" s="5">
        <v>0.623</v>
      </c>
      <c r="J28" s="5">
        <v>0.67600000000000005</v>
      </c>
      <c r="K28" s="5">
        <v>0.70899999999999996</v>
      </c>
      <c r="L28" s="5">
        <v>0.749</v>
      </c>
      <c r="M28" s="5">
        <v>0.78700000000000003</v>
      </c>
      <c r="N28" s="5">
        <v>0.82199999999999995</v>
      </c>
      <c r="O28" s="5">
        <v>0.84199999999999997</v>
      </c>
      <c r="P28" s="5">
        <v>0.86199999999999999</v>
      </c>
      <c r="Q28" s="5">
        <v>0.88300000000000001</v>
      </c>
      <c r="R28" s="5">
        <v>0.89400000000000002</v>
      </c>
      <c r="S28" s="5">
        <v>0.91</v>
      </c>
      <c r="T28" s="5">
        <v>0.95</v>
      </c>
      <c r="U28" s="5">
        <v>0.97599999999999998</v>
      </c>
      <c r="V28" s="5">
        <v>0.98599999999999999</v>
      </c>
      <c r="W28" s="5">
        <v>0.996</v>
      </c>
      <c r="X28" s="5">
        <v>1.0109999999999999</v>
      </c>
      <c r="Y28" s="5">
        <v>1.016</v>
      </c>
      <c r="Z28" s="5">
        <v>0.97299999999999998</v>
      </c>
      <c r="AA28" s="5">
        <v>0.96499999999999997</v>
      </c>
      <c r="AB28" s="5">
        <v>1.008</v>
      </c>
      <c r="AC28" s="5">
        <v>0.98499999999999999</v>
      </c>
      <c r="AD28" s="5">
        <v>29.596</v>
      </c>
    </row>
    <row r="29" spans="1:30" ht="16.5" customHeight="1" x14ac:dyDescent="0.3">
      <c r="A29" s="12"/>
      <c r="B29" s="12"/>
      <c r="C29" s="12"/>
      <c r="D29" s="1">
        <v>26</v>
      </c>
      <c r="E29" s="5">
        <v>0.28699999999999998</v>
      </c>
      <c r="F29" s="5">
        <v>0.36699999999999999</v>
      </c>
      <c r="G29" s="5">
        <v>0.46100000000000002</v>
      </c>
      <c r="H29" s="5">
        <v>0.54500000000000004</v>
      </c>
      <c r="I29" s="5">
        <v>0.61499999999999999</v>
      </c>
      <c r="J29" s="5">
        <v>0.66700000000000004</v>
      </c>
      <c r="K29" s="5">
        <v>0.71199999999999997</v>
      </c>
      <c r="L29" s="5">
        <v>0.747</v>
      </c>
      <c r="M29" s="5">
        <v>0.78</v>
      </c>
      <c r="N29" s="5">
        <v>0.80900000000000005</v>
      </c>
      <c r="O29" s="5">
        <v>0.83499999999999996</v>
      </c>
      <c r="P29" s="5">
        <v>0.85899999999999999</v>
      </c>
      <c r="Q29" s="5">
        <v>0.88500000000000001</v>
      </c>
      <c r="R29" s="5">
        <v>0.88900000000000001</v>
      </c>
      <c r="S29" s="5">
        <v>0.91300000000000003</v>
      </c>
      <c r="T29" s="5">
        <v>0.95399999999999996</v>
      </c>
      <c r="U29" s="5">
        <v>0.97099999999999997</v>
      </c>
      <c r="V29" s="5">
        <v>1.0009999999999999</v>
      </c>
      <c r="W29" s="5">
        <v>1.0149999999999999</v>
      </c>
      <c r="X29" s="5">
        <v>1.016</v>
      </c>
      <c r="Y29" s="5">
        <v>1.0189999999999999</v>
      </c>
      <c r="Z29" s="5">
        <v>1.0209999999999999</v>
      </c>
      <c r="AA29" s="5">
        <v>1.036</v>
      </c>
      <c r="AB29" s="5">
        <v>1.022</v>
      </c>
      <c r="AC29" s="5">
        <v>0.98799999999999999</v>
      </c>
      <c r="AD29" s="5">
        <v>29.393999999999998</v>
      </c>
    </row>
    <row r="30" spans="1:30" x14ac:dyDescent="0.3">
      <c r="A30" s="12"/>
      <c r="B30" s="12"/>
      <c r="C30" s="12"/>
      <c r="D30" s="1">
        <v>27</v>
      </c>
      <c r="E30" s="5">
        <v>0.28899999999999998</v>
      </c>
      <c r="F30" s="5">
        <v>0.36899999999999999</v>
      </c>
      <c r="G30" s="5">
        <v>0.45600000000000002</v>
      </c>
      <c r="H30" s="5">
        <v>0.53800000000000003</v>
      </c>
      <c r="I30" s="5">
        <v>0.60299999999999998</v>
      </c>
      <c r="J30" s="5">
        <v>0.65700000000000003</v>
      </c>
      <c r="K30" s="5">
        <v>0.70399999999999996</v>
      </c>
      <c r="L30" s="5">
        <v>0.73899999999999999</v>
      </c>
      <c r="M30" s="5">
        <v>0.77500000000000002</v>
      </c>
      <c r="N30" s="5">
        <v>0.79900000000000004</v>
      </c>
      <c r="O30" s="5">
        <v>0.81699999999999995</v>
      </c>
      <c r="P30" s="5">
        <v>0.83899999999999997</v>
      </c>
      <c r="Q30" s="5">
        <v>0.878</v>
      </c>
      <c r="R30" s="5">
        <v>0.89800000000000002</v>
      </c>
      <c r="S30" s="5">
        <v>0.92400000000000004</v>
      </c>
      <c r="T30" s="5">
        <v>0.95199999999999996</v>
      </c>
      <c r="U30" s="5">
        <v>0.97399999999999998</v>
      </c>
      <c r="V30" s="5">
        <v>0.99099999999999999</v>
      </c>
      <c r="W30" s="5">
        <v>1.0029999999999999</v>
      </c>
      <c r="X30" s="5">
        <v>0.998</v>
      </c>
      <c r="Y30" s="5">
        <v>1.008</v>
      </c>
      <c r="Z30" s="5">
        <v>1.002</v>
      </c>
      <c r="AA30" s="5">
        <v>1.0249999999999999</v>
      </c>
      <c r="AB30" s="5">
        <v>1.032</v>
      </c>
      <c r="AC30" s="5">
        <v>1.0389999999999999</v>
      </c>
      <c r="AD30" s="5">
        <v>29.381</v>
      </c>
    </row>
    <row r="31" spans="1:30" x14ac:dyDescent="0.3">
      <c r="A31" s="12"/>
      <c r="B31" s="12"/>
      <c r="C31" s="12"/>
      <c r="D31" s="1">
        <v>28</v>
      </c>
      <c r="E31" s="5">
        <v>0.28199999999999997</v>
      </c>
      <c r="F31" s="5">
        <v>0.36199999999999999</v>
      </c>
      <c r="G31" s="5">
        <v>0.45400000000000001</v>
      </c>
      <c r="H31" s="5">
        <v>0.53600000000000003</v>
      </c>
      <c r="I31" s="5">
        <v>0.6</v>
      </c>
      <c r="J31" s="5">
        <v>0.65</v>
      </c>
      <c r="K31" s="5">
        <v>0.68899999999999995</v>
      </c>
      <c r="L31" s="5">
        <v>0.73199999999999998</v>
      </c>
      <c r="M31" s="5">
        <v>0.76300000000000001</v>
      </c>
      <c r="N31" s="5">
        <v>0.78800000000000003</v>
      </c>
      <c r="O31" s="5">
        <v>0.81100000000000005</v>
      </c>
      <c r="P31" s="5">
        <v>0.83299999999999996</v>
      </c>
      <c r="Q31" s="5">
        <v>0.86799999999999999</v>
      </c>
      <c r="R31" s="5">
        <v>0.89400000000000002</v>
      </c>
      <c r="S31" s="5">
        <v>0.91200000000000003</v>
      </c>
      <c r="T31" s="5">
        <v>0.93500000000000005</v>
      </c>
      <c r="U31" s="5">
        <v>0.95899999999999996</v>
      </c>
      <c r="V31" s="5">
        <v>0.98599999999999999</v>
      </c>
      <c r="W31" s="5">
        <v>0.97599999999999998</v>
      </c>
      <c r="X31" s="5">
        <v>0.998</v>
      </c>
      <c r="Y31" s="5">
        <v>1.002</v>
      </c>
      <c r="Z31" s="5">
        <v>0.97099999999999997</v>
      </c>
      <c r="AA31" s="5">
        <v>0.997</v>
      </c>
      <c r="AB31" s="5">
        <v>1.0249999999999999</v>
      </c>
      <c r="AC31" s="5">
        <v>1.0409999999999999</v>
      </c>
      <c r="AD31" s="5">
        <v>29.544</v>
      </c>
    </row>
    <row r="32" spans="1:30" x14ac:dyDescent="0.3">
      <c r="A32" s="12"/>
      <c r="B32" s="12"/>
      <c r="C32" s="12"/>
      <c r="D32" s="1">
        <v>29</v>
      </c>
      <c r="E32" s="5">
        <v>0.27900000000000003</v>
      </c>
      <c r="F32" s="5">
        <v>0.371</v>
      </c>
      <c r="G32" s="5">
        <v>0.45800000000000002</v>
      </c>
      <c r="H32" s="5">
        <v>0.53700000000000003</v>
      </c>
      <c r="I32" s="5">
        <v>0.60399999999999998</v>
      </c>
      <c r="J32" s="5">
        <v>0.66300000000000003</v>
      </c>
      <c r="K32" s="5">
        <v>0.70199999999999996</v>
      </c>
      <c r="L32" s="5">
        <v>0.753</v>
      </c>
      <c r="M32" s="5">
        <v>0.78100000000000003</v>
      </c>
      <c r="N32" s="5">
        <v>0.81</v>
      </c>
      <c r="O32" s="5">
        <v>0.83</v>
      </c>
      <c r="P32" s="5">
        <v>0.85599999999999998</v>
      </c>
      <c r="Q32" s="5">
        <v>0.873</v>
      </c>
      <c r="R32" s="5">
        <v>0.89700000000000002</v>
      </c>
      <c r="S32" s="5">
        <v>0.91300000000000003</v>
      </c>
      <c r="T32" s="5">
        <v>0.94499999999999995</v>
      </c>
      <c r="U32" s="5">
        <v>0.97</v>
      </c>
      <c r="V32" s="5">
        <v>0.98399999999999999</v>
      </c>
      <c r="W32" s="5">
        <v>0.99399999999999999</v>
      </c>
      <c r="X32" s="5">
        <v>0.98599999999999999</v>
      </c>
      <c r="Y32" s="5">
        <v>0.96699999999999997</v>
      </c>
      <c r="Z32" s="5">
        <v>0.996</v>
      </c>
      <c r="AA32" s="5">
        <v>1.0109999999999999</v>
      </c>
      <c r="AB32" s="5">
        <v>1.0049999999999999</v>
      </c>
      <c r="AC32" s="5">
        <v>1.01</v>
      </c>
      <c r="AD32" s="5">
        <v>29.459</v>
      </c>
    </row>
    <row r="33" spans="1:30" x14ac:dyDescent="0.3">
      <c r="A33" s="12"/>
      <c r="B33" s="12"/>
      <c r="C33" s="12"/>
      <c r="D33" s="1">
        <v>30</v>
      </c>
      <c r="E33" s="5">
        <v>0.27900000000000003</v>
      </c>
      <c r="F33" s="5">
        <v>0.36499999999999999</v>
      </c>
      <c r="G33" s="5">
        <v>0.45300000000000001</v>
      </c>
      <c r="H33" s="5">
        <v>0.55900000000000005</v>
      </c>
      <c r="I33" s="5">
        <v>0.64500000000000002</v>
      </c>
      <c r="J33" s="5">
        <v>0.66900000000000004</v>
      </c>
      <c r="K33" s="5">
        <v>0.71399999999999997</v>
      </c>
      <c r="L33" s="5">
        <v>0.755</v>
      </c>
      <c r="M33" s="5">
        <v>0.80800000000000005</v>
      </c>
      <c r="N33" s="5">
        <v>0.86199999999999999</v>
      </c>
      <c r="O33" s="5">
        <v>0.875</v>
      </c>
      <c r="P33" s="5">
        <v>0.89700000000000002</v>
      </c>
      <c r="Q33" s="5">
        <v>0.89600000000000002</v>
      </c>
      <c r="R33" s="5">
        <v>0.9</v>
      </c>
      <c r="S33" s="5">
        <v>0.90800000000000003</v>
      </c>
      <c r="T33" s="5">
        <v>0.92800000000000005</v>
      </c>
      <c r="U33" s="5">
        <v>0.95799999999999996</v>
      </c>
      <c r="V33" s="5">
        <v>0.96</v>
      </c>
      <c r="W33" s="5">
        <v>0.97</v>
      </c>
      <c r="X33" s="5">
        <v>0.97099999999999997</v>
      </c>
      <c r="Y33" s="5">
        <v>0.97699999999999998</v>
      </c>
      <c r="Z33" s="5">
        <v>0.98599999999999999</v>
      </c>
      <c r="AA33" s="5">
        <v>0.99099999999999999</v>
      </c>
      <c r="AB33" s="5">
        <v>0.98599999999999999</v>
      </c>
      <c r="AC33" s="5">
        <v>0.96499999999999997</v>
      </c>
      <c r="AD33" s="5">
        <v>29.207000000000001</v>
      </c>
    </row>
    <row r="34" spans="1:30" x14ac:dyDescent="0.3">
      <c r="A34" s="12"/>
      <c r="B34" s="12"/>
      <c r="C34" s="12"/>
      <c r="D34" s="1">
        <v>31</v>
      </c>
      <c r="E34" s="5">
        <v>0.28000000000000003</v>
      </c>
      <c r="F34" s="5">
        <v>0.36099999999999999</v>
      </c>
      <c r="G34" s="5">
        <v>0.44800000000000001</v>
      </c>
      <c r="H34" s="5">
        <v>0.53600000000000003</v>
      </c>
      <c r="I34" s="5">
        <v>0.60399999999999998</v>
      </c>
      <c r="J34" s="5">
        <v>0.66100000000000003</v>
      </c>
      <c r="K34" s="5">
        <v>0.70499999999999996</v>
      </c>
      <c r="L34" s="5">
        <v>0.745</v>
      </c>
      <c r="M34" s="5">
        <v>0.77500000000000002</v>
      </c>
      <c r="N34" s="5">
        <v>0.80200000000000005</v>
      </c>
      <c r="O34" s="5">
        <v>0.81699999999999995</v>
      </c>
      <c r="P34" s="5">
        <v>0.84699999999999998</v>
      </c>
      <c r="Q34" s="5">
        <v>0.877</v>
      </c>
      <c r="R34" s="5">
        <v>0.89800000000000002</v>
      </c>
      <c r="S34" s="5">
        <v>0.92600000000000005</v>
      </c>
      <c r="T34" s="5">
        <v>0.94399999999999995</v>
      </c>
      <c r="U34" s="5">
        <v>0.95499999999999996</v>
      </c>
      <c r="V34" s="5">
        <v>0.95799999999999996</v>
      </c>
      <c r="W34" s="5">
        <v>0.96199999999999997</v>
      </c>
      <c r="X34" s="5">
        <v>0.97799999999999998</v>
      </c>
      <c r="Y34" s="5">
        <v>0.98499999999999999</v>
      </c>
      <c r="Z34" s="5">
        <v>0.98499999999999999</v>
      </c>
      <c r="AA34" s="5">
        <v>0.99299999999999999</v>
      </c>
      <c r="AB34" s="5">
        <v>1.0029999999999999</v>
      </c>
      <c r="AC34" s="5">
        <v>0.98899999999999999</v>
      </c>
      <c r="AD34" s="5">
        <v>29.358000000000001</v>
      </c>
    </row>
    <row r="35" spans="1:30" x14ac:dyDescent="0.3">
      <c r="A35" s="12"/>
      <c r="B35" s="12"/>
      <c r="C35" s="12"/>
      <c r="D35" s="1">
        <v>32</v>
      </c>
      <c r="E35" s="5">
        <v>0.27400000000000002</v>
      </c>
      <c r="F35" s="5">
        <v>0.35699999999999998</v>
      </c>
      <c r="G35" s="5">
        <v>0.441</v>
      </c>
      <c r="H35" s="5">
        <v>0.52200000000000002</v>
      </c>
      <c r="I35" s="5">
        <v>0.6</v>
      </c>
      <c r="J35" s="5">
        <v>0.64100000000000001</v>
      </c>
      <c r="K35" s="5">
        <v>0.68200000000000005</v>
      </c>
      <c r="L35" s="5">
        <v>0.72</v>
      </c>
      <c r="M35" s="5">
        <v>0.76200000000000001</v>
      </c>
      <c r="N35" s="5">
        <v>0.80900000000000005</v>
      </c>
      <c r="O35" s="5">
        <v>0.82399999999999995</v>
      </c>
      <c r="P35" s="5">
        <v>0.85799999999999998</v>
      </c>
      <c r="Q35" s="5">
        <v>0.873</v>
      </c>
      <c r="R35" s="5">
        <v>0.88300000000000001</v>
      </c>
      <c r="S35" s="5">
        <v>0.90200000000000002</v>
      </c>
      <c r="T35" s="5">
        <v>0.91800000000000004</v>
      </c>
      <c r="U35" s="5">
        <v>0.95099999999999996</v>
      </c>
      <c r="V35" s="5">
        <v>0.95099999999999996</v>
      </c>
      <c r="W35" s="5">
        <v>0.94399999999999995</v>
      </c>
      <c r="X35" s="5">
        <v>0.94</v>
      </c>
      <c r="Y35" s="5">
        <v>0.94399999999999995</v>
      </c>
      <c r="Z35" s="5">
        <v>0.94899999999999995</v>
      </c>
      <c r="AA35" s="5">
        <v>0.94899999999999995</v>
      </c>
      <c r="AB35" s="5">
        <v>0.95</v>
      </c>
      <c r="AC35" s="5">
        <v>0.96199999999999997</v>
      </c>
      <c r="AD35" s="5">
        <v>29.302</v>
      </c>
    </row>
    <row r="36" spans="1:30" x14ac:dyDescent="0.3">
      <c r="A36" s="12"/>
      <c r="B36" s="12"/>
      <c r="C36" s="12"/>
      <c r="D36" s="1">
        <v>33</v>
      </c>
      <c r="E36" s="5">
        <v>0.28199999999999997</v>
      </c>
      <c r="F36" s="5">
        <v>0.379</v>
      </c>
      <c r="G36" s="5">
        <v>0.45800000000000002</v>
      </c>
      <c r="H36" s="5">
        <v>0.53700000000000003</v>
      </c>
      <c r="I36" s="5">
        <v>0.61</v>
      </c>
      <c r="J36" s="5">
        <v>0.66500000000000004</v>
      </c>
      <c r="K36" s="5">
        <v>0.70799999999999996</v>
      </c>
      <c r="L36" s="5">
        <v>0.747</v>
      </c>
      <c r="M36" s="5">
        <v>0.78300000000000003</v>
      </c>
      <c r="N36" s="5">
        <v>0.80700000000000005</v>
      </c>
      <c r="O36" s="5">
        <v>0.83699999999999997</v>
      </c>
      <c r="P36" s="5">
        <v>0.86099999999999999</v>
      </c>
      <c r="Q36" s="5">
        <v>0.89</v>
      </c>
      <c r="R36" s="5">
        <v>0.89800000000000002</v>
      </c>
      <c r="S36" s="5">
        <v>0.93100000000000005</v>
      </c>
      <c r="T36" s="5">
        <v>0.93400000000000005</v>
      </c>
      <c r="U36" s="5">
        <v>0.98</v>
      </c>
      <c r="V36" s="5">
        <v>0.99199999999999999</v>
      </c>
      <c r="W36" s="5">
        <v>0.997</v>
      </c>
      <c r="X36" s="5">
        <v>1.0049999999999999</v>
      </c>
      <c r="Y36" s="5">
        <v>1.008</v>
      </c>
      <c r="Z36" s="5">
        <v>1.01</v>
      </c>
      <c r="AA36" s="5">
        <v>1.0009999999999999</v>
      </c>
      <c r="AB36" s="5">
        <v>1.129</v>
      </c>
      <c r="AC36" s="5">
        <v>1.0189999999999999</v>
      </c>
      <c r="AD36" s="5">
        <v>29.373999999999999</v>
      </c>
    </row>
    <row r="37" spans="1:30" x14ac:dyDescent="0.3">
      <c r="A37" s="12"/>
      <c r="B37" s="12"/>
      <c r="C37" s="12"/>
      <c r="D37" s="1">
        <v>34</v>
      </c>
      <c r="E37" s="5">
        <v>0.28599999999999998</v>
      </c>
      <c r="F37" s="5">
        <v>0.36299999999999999</v>
      </c>
      <c r="G37" s="5">
        <v>0.45900000000000002</v>
      </c>
      <c r="H37" s="5">
        <v>0.53700000000000003</v>
      </c>
      <c r="I37" s="5">
        <v>0.60399999999999998</v>
      </c>
      <c r="J37" s="5">
        <v>0.65400000000000003</v>
      </c>
      <c r="K37" s="5">
        <v>0.70399999999999996</v>
      </c>
      <c r="L37" s="5">
        <v>0.74199999999999999</v>
      </c>
      <c r="M37" s="5">
        <v>0.77400000000000002</v>
      </c>
      <c r="N37" s="5">
        <v>0.80300000000000005</v>
      </c>
      <c r="O37" s="5">
        <v>0.82</v>
      </c>
      <c r="P37" s="5">
        <v>0.85099999999999998</v>
      </c>
      <c r="Q37" s="5">
        <v>0.86799999999999999</v>
      </c>
      <c r="R37" s="5">
        <v>0.879</v>
      </c>
      <c r="S37" s="5">
        <v>0.9</v>
      </c>
      <c r="T37" s="5">
        <v>0.92500000000000004</v>
      </c>
      <c r="U37" s="5">
        <v>0.95799999999999996</v>
      </c>
      <c r="V37" s="5">
        <v>0.97</v>
      </c>
      <c r="W37" s="5">
        <v>0.98299999999999998</v>
      </c>
      <c r="X37" s="5">
        <v>0.98799999999999999</v>
      </c>
      <c r="Y37" s="5">
        <v>0.97799999999999998</v>
      </c>
      <c r="Z37" s="5">
        <v>0.97699999999999998</v>
      </c>
      <c r="AA37" s="5">
        <v>0.997</v>
      </c>
      <c r="AB37" s="5">
        <v>0.98499999999999999</v>
      </c>
      <c r="AC37" s="5">
        <v>1.0029999999999999</v>
      </c>
      <c r="AD37" s="5">
        <v>29.363</v>
      </c>
    </row>
    <row r="38" spans="1:30" x14ac:dyDescent="0.3">
      <c r="A38" s="12"/>
      <c r="B38" s="12"/>
      <c r="C38" s="12"/>
      <c r="D38" s="1">
        <v>35</v>
      </c>
      <c r="E38" s="5">
        <v>0.30199999999999999</v>
      </c>
      <c r="F38" s="5">
        <v>0.375</v>
      </c>
      <c r="G38" s="5">
        <v>0.46300000000000002</v>
      </c>
      <c r="H38" s="5">
        <v>0.55200000000000005</v>
      </c>
      <c r="I38" s="5">
        <v>0.61</v>
      </c>
      <c r="J38" s="5">
        <v>0.67</v>
      </c>
      <c r="K38" s="5">
        <v>0.70699999999999996</v>
      </c>
      <c r="L38" s="5">
        <v>0.749</v>
      </c>
      <c r="M38" s="5">
        <v>0.79400000000000004</v>
      </c>
      <c r="N38" s="5">
        <v>0.80100000000000005</v>
      </c>
      <c r="O38" s="5">
        <v>0.82</v>
      </c>
      <c r="P38" s="5">
        <v>0.84499999999999997</v>
      </c>
      <c r="Q38" s="5">
        <v>0.86399999999999999</v>
      </c>
      <c r="R38" s="5">
        <v>0.88500000000000001</v>
      </c>
      <c r="S38" s="5">
        <v>0.93</v>
      </c>
      <c r="T38" s="5">
        <v>0.93500000000000005</v>
      </c>
      <c r="U38" s="5">
        <v>0.95199999999999996</v>
      </c>
      <c r="V38" s="5">
        <v>0.98799999999999999</v>
      </c>
      <c r="W38" s="5">
        <v>0.98699999999999999</v>
      </c>
      <c r="X38" s="5">
        <v>0.99299999999999999</v>
      </c>
      <c r="Y38" s="5">
        <v>0.99399999999999999</v>
      </c>
      <c r="Z38" s="5">
        <v>1.0109999999999999</v>
      </c>
      <c r="AA38" s="5">
        <v>1.01</v>
      </c>
      <c r="AB38" s="5">
        <v>1.024</v>
      </c>
      <c r="AC38" s="5">
        <v>1.0109999999999999</v>
      </c>
      <c r="AD38" s="5">
        <v>29.11</v>
      </c>
    </row>
    <row r="39" spans="1:30" x14ac:dyDescent="0.3">
      <c r="A39" s="12"/>
      <c r="B39" s="12"/>
      <c r="C39" s="12"/>
      <c r="D39" s="1">
        <v>36</v>
      </c>
      <c r="E39" s="5">
        <v>0.27800000000000002</v>
      </c>
      <c r="F39" s="5">
        <v>0.35899999999999999</v>
      </c>
      <c r="G39" s="5">
        <v>0.44800000000000001</v>
      </c>
      <c r="H39" s="5">
        <v>0.52600000000000002</v>
      </c>
      <c r="I39" s="5">
        <v>0.59499999999999997</v>
      </c>
      <c r="J39" s="5">
        <v>0.65</v>
      </c>
      <c r="K39" s="5">
        <v>0.69699999999999995</v>
      </c>
      <c r="L39" s="5">
        <v>0.745</v>
      </c>
      <c r="M39" s="5">
        <v>0.78200000000000003</v>
      </c>
      <c r="N39" s="5">
        <v>0.83</v>
      </c>
      <c r="O39" s="5">
        <v>0.83799999999999997</v>
      </c>
      <c r="P39" s="5">
        <v>0.86</v>
      </c>
      <c r="Q39" s="5">
        <v>0.875</v>
      </c>
      <c r="R39" s="5">
        <v>0.88900000000000001</v>
      </c>
      <c r="S39" s="5">
        <v>0.90200000000000002</v>
      </c>
      <c r="T39" s="5">
        <v>0.92300000000000004</v>
      </c>
      <c r="U39" s="5">
        <v>0.95099999999999996</v>
      </c>
      <c r="V39" s="5">
        <v>0.97599999999999998</v>
      </c>
      <c r="W39" s="5">
        <v>0.98</v>
      </c>
      <c r="X39" s="5">
        <v>0.97199999999999998</v>
      </c>
      <c r="Y39" s="5">
        <v>0.97299999999999998</v>
      </c>
      <c r="Z39" s="5">
        <v>0.995</v>
      </c>
      <c r="AA39" s="5">
        <v>0.99</v>
      </c>
      <c r="AB39" s="5">
        <v>0.995</v>
      </c>
      <c r="AC39" s="5">
        <v>0.98299999999999998</v>
      </c>
      <c r="AD39" s="5">
        <v>29.675999999999998</v>
      </c>
    </row>
    <row r="40" spans="1:30" x14ac:dyDescent="0.3">
      <c r="A40" s="12"/>
      <c r="B40" s="12"/>
      <c r="C40" s="12"/>
      <c r="D40" s="1">
        <v>37</v>
      </c>
      <c r="E40" s="5">
        <v>0.27700000000000002</v>
      </c>
      <c r="F40" s="5">
        <v>0.36699999999999999</v>
      </c>
      <c r="G40" s="5">
        <v>0.45700000000000002</v>
      </c>
      <c r="H40" s="5">
        <v>0.53600000000000003</v>
      </c>
      <c r="I40" s="5">
        <v>0.61199999999999999</v>
      </c>
      <c r="J40" s="5">
        <v>0.65400000000000003</v>
      </c>
      <c r="K40" s="5">
        <v>0.70299999999999996</v>
      </c>
      <c r="L40" s="5">
        <v>0.73899999999999999</v>
      </c>
      <c r="M40" s="5">
        <v>0.77100000000000002</v>
      </c>
      <c r="N40" s="5">
        <v>0.78900000000000003</v>
      </c>
      <c r="O40" s="5">
        <v>0.80700000000000005</v>
      </c>
      <c r="P40" s="5">
        <v>0.84499999999999997</v>
      </c>
      <c r="Q40" s="5">
        <v>0.85499999999999998</v>
      </c>
      <c r="R40" s="5">
        <v>0.88</v>
      </c>
      <c r="S40" s="5">
        <v>0.91800000000000004</v>
      </c>
      <c r="T40" s="5">
        <v>0.92500000000000004</v>
      </c>
      <c r="U40" s="5">
        <v>0.94499999999999995</v>
      </c>
      <c r="V40" s="5">
        <v>0.94899999999999995</v>
      </c>
      <c r="W40" s="5">
        <v>0.95199999999999996</v>
      </c>
      <c r="X40" s="5">
        <v>0.95299999999999996</v>
      </c>
      <c r="Y40" s="5">
        <v>0.95</v>
      </c>
      <c r="Z40" s="5">
        <v>0.95799999999999996</v>
      </c>
      <c r="AA40" s="5">
        <v>0.96799999999999997</v>
      </c>
      <c r="AB40" s="5">
        <v>0.98399999999999999</v>
      </c>
      <c r="AC40" s="5">
        <v>1.0189999999999999</v>
      </c>
      <c r="AD40" s="5">
        <v>29.603000000000002</v>
      </c>
    </row>
    <row r="41" spans="1:30" x14ac:dyDescent="0.3">
      <c r="A41" s="12"/>
      <c r="B41" s="12"/>
      <c r="C41" s="12"/>
      <c r="D41" s="1">
        <v>38</v>
      </c>
      <c r="E41" s="5">
        <v>0.27400000000000002</v>
      </c>
      <c r="F41" s="5">
        <v>0.36199999999999999</v>
      </c>
      <c r="G41" s="5">
        <v>0.46100000000000002</v>
      </c>
      <c r="H41" s="5">
        <v>0.53200000000000003</v>
      </c>
      <c r="I41" s="5">
        <v>0.60699999999999998</v>
      </c>
      <c r="J41" s="5">
        <v>0.65700000000000003</v>
      </c>
      <c r="K41" s="5">
        <v>0.7</v>
      </c>
      <c r="L41" s="5">
        <v>0.73799999999999999</v>
      </c>
      <c r="M41" s="5">
        <v>0.77700000000000002</v>
      </c>
      <c r="N41" s="5">
        <v>0.80300000000000005</v>
      </c>
      <c r="O41" s="5">
        <v>0.81799999999999995</v>
      </c>
      <c r="P41" s="5">
        <v>0.84199999999999997</v>
      </c>
      <c r="Q41" s="5">
        <v>0.86599999999999999</v>
      </c>
      <c r="R41" s="5">
        <v>0.89500000000000002</v>
      </c>
      <c r="S41" s="5">
        <v>0.91900000000000004</v>
      </c>
      <c r="T41" s="5">
        <v>0.94899999999999995</v>
      </c>
      <c r="U41" s="5">
        <v>0.96399999999999997</v>
      </c>
      <c r="V41" s="5">
        <v>0.97299999999999998</v>
      </c>
      <c r="W41" s="5">
        <v>0.96399999999999997</v>
      </c>
      <c r="X41" s="5">
        <v>0.97399999999999998</v>
      </c>
      <c r="Y41" s="5">
        <v>0.99399999999999999</v>
      </c>
      <c r="Z41" s="5">
        <v>0.99299999999999999</v>
      </c>
      <c r="AA41" s="5">
        <v>1.0009999999999999</v>
      </c>
      <c r="AB41" s="5">
        <v>1.0109999999999999</v>
      </c>
      <c r="AC41" s="5">
        <v>1.0029999999999999</v>
      </c>
      <c r="AD41" s="5">
        <v>29.561</v>
      </c>
    </row>
    <row r="42" spans="1:30" x14ac:dyDescent="0.3">
      <c r="A42" s="12"/>
      <c r="B42" s="12"/>
      <c r="C42" s="12"/>
      <c r="D42" s="1">
        <v>39</v>
      </c>
      <c r="E42" s="5">
        <v>0.27600000000000002</v>
      </c>
      <c r="F42" s="5">
        <v>0.36899999999999999</v>
      </c>
      <c r="G42" s="5">
        <v>0.46500000000000002</v>
      </c>
      <c r="H42" s="5">
        <v>0.53</v>
      </c>
      <c r="I42" s="5">
        <v>0.59899999999999998</v>
      </c>
      <c r="J42" s="5">
        <v>0.64800000000000002</v>
      </c>
      <c r="K42" s="5">
        <v>0.69799999999999995</v>
      </c>
      <c r="L42" s="5">
        <v>0.746</v>
      </c>
      <c r="M42" s="5">
        <v>0.78400000000000003</v>
      </c>
      <c r="N42" s="5">
        <v>0.82399999999999995</v>
      </c>
      <c r="O42" s="5">
        <v>0.84399999999999997</v>
      </c>
      <c r="P42" s="5">
        <v>0.87</v>
      </c>
      <c r="Q42" s="5">
        <v>0.89400000000000002</v>
      </c>
      <c r="R42" s="5">
        <v>0.90200000000000002</v>
      </c>
      <c r="S42" s="5">
        <v>0.90100000000000002</v>
      </c>
      <c r="T42" s="5">
        <v>0.94199999999999995</v>
      </c>
      <c r="U42" s="5">
        <v>0.97</v>
      </c>
      <c r="V42" s="5">
        <v>1</v>
      </c>
      <c r="W42" s="5">
        <v>0.96699999999999997</v>
      </c>
      <c r="X42" s="5">
        <v>0.98399999999999999</v>
      </c>
      <c r="Y42" s="5">
        <v>0.98199999999999998</v>
      </c>
      <c r="Z42" s="5">
        <v>0.98099999999999998</v>
      </c>
      <c r="AA42" s="5">
        <v>0.97899999999999998</v>
      </c>
      <c r="AB42" s="5">
        <v>0.99299999999999999</v>
      </c>
      <c r="AC42" s="5">
        <v>0.97599999999999998</v>
      </c>
      <c r="AD42" s="5">
        <v>29.338000000000001</v>
      </c>
    </row>
    <row r="43" spans="1:30" x14ac:dyDescent="0.3">
      <c r="A43" s="12"/>
      <c r="B43" s="12"/>
      <c r="C43" s="12"/>
      <c r="D43" s="1">
        <v>40</v>
      </c>
      <c r="E43" s="5">
        <v>0.28199999999999997</v>
      </c>
      <c r="F43" s="5">
        <v>0.377</v>
      </c>
      <c r="G43" s="5">
        <v>0.46200000000000002</v>
      </c>
      <c r="H43" s="5">
        <v>0.54200000000000004</v>
      </c>
      <c r="I43" s="5">
        <v>0.60499999999999998</v>
      </c>
      <c r="J43" s="5">
        <v>0.66100000000000003</v>
      </c>
      <c r="K43" s="5">
        <v>0.71099999999999997</v>
      </c>
      <c r="L43" s="5">
        <v>0.73799999999999999</v>
      </c>
      <c r="M43" s="5">
        <v>0.76600000000000001</v>
      </c>
      <c r="N43" s="5">
        <v>0.79400000000000004</v>
      </c>
      <c r="O43" s="5">
        <v>0.83099999999999996</v>
      </c>
      <c r="P43" s="5">
        <v>0.84699999999999998</v>
      </c>
      <c r="Q43" s="5">
        <v>0.86799999999999999</v>
      </c>
      <c r="R43" s="5">
        <v>0.89400000000000002</v>
      </c>
      <c r="S43" s="5">
        <v>0.91600000000000004</v>
      </c>
      <c r="T43" s="5">
        <v>0.93400000000000005</v>
      </c>
      <c r="U43" s="5">
        <v>0.95299999999999996</v>
      </c>
      <c r="V43" s="5">
        <v>0.96899999999999997</v>
      </c>
      <c r="W43" s="5">
        <v>0.998</v>
      </c>
      <c r="X43" s="5">
        <v>1.0069999999999999</v>
      </c>
      <c r="Y43" s="5">
        <v>1.016</v>
      </c>
      <c r="Z43" s="5">
        <v>1.0069999999999999</v>
      </c>
      <c r="AA43" s="5">
        <v>1.0169999999999999</v>
      </c>
      <c r="AB43" s="5">
        <v>1.0349999999999999</v>
      </c>
      <c r="AC43" s="5">
        <v>0.996</v>
      </c>
      <c r="AD43" s="5">
        <v>29.460999999999999</v>
      </c>
    </row>
    <row r="44" spans="1:30" x14ac:dyDescent="0.3">
      <c r="A44" s="12"/>
      <c r="B44" s="12"/>
      <c r="C44" s="12"/>
      <c r="D44" s="1">
        <v>41</v>
      </c>
      <c r="E44" s="5">
        <v>0.27500000000000002</v>
      </c>
      <c r="F44" s="5">
        <v>0.36199999999999999</v>
      </c>
      <c r="G44" s="5">
        <v>0.46</v>
      </c>
      <c r="H44" s="5">
        <v>0.54900000000000004</v>
      </c>
      <c r="I44" s="5">
        <v>0.59899999999999998</v>
      </c>
      <c r="J44" s="5">
        <v>0.65100000000000002</v>
      </c>
      <c r="K44" s="5">
        <v>0.69199999999999995</v>
      </c>
      <c r="L44" s="5">
        <v>0.74199999999999999</v>
      </c>
      <c r="M44" s="5">
        <v>0.78100000000000003</v>
      </c>
      <c r="N44" s="5">
        <v>0.83</v>
      </c>
      <c r="O44" s="5">
        <v>0.83699999999999997</v>
      </c>
      <c r="P44" s="5">
        <v>0.871</v>
      </c>
      <c r="Q44" s="5">
        <v>0.88100000000000001</v>
      </c>
      <c r="R44" s="5">
        <v>0.88900000000000001</v>
      </c>
      <c r="S44" s="5">
        <v>0.89600000000000002</v>
      </c>
      <c r="T44" s="5">
        <v>0.93100000000000005</v>
      </c>
      <c r="U44" s="5">
        <v>0.94199999999999995</v>
      </c>
      <c r="V44" s="5">
        <v>0.96099999999999997</v>
      </c>
      <c r="W44" s="5">
        <v>0.97399999999999998</v>
      </c>
      <c r="X44" s="5">
        <v>0.96499999999999997</v>
      </c>
      <c r="Y44" s="5">
        <v>0.96599999999999997</v>
      </c>
      <c r="Z44" s="5">
        <v>0.96899999999999997</v>
      </c>
      <c r="AA44" s="5">
        <v>0.98899999999999999</v>
      </c>
      <c r="AB44" s="5">
        <v>0.99</v>
      </c>
      <c r="AC44" s="5">
        <v>0.98199999999999998</v>
      </c>
      <c r="AD44" s="5">
        <v>29.434999999999999</v>
      </c>
    </row>
    <row r="45" spans="1:30" x14ac:dyDescent="0.3">
      <c r="A45" s="12"/>
      <c r="B45" s="12"/>
      <c r="C45" s="12"/>
      <c r="D45" s="1">
        <v>42</v>
      </c>
      <c r="E45" s="5">
        <v>0.27200000000000002</v>
      </c>
      <c r="F45" s="5">
        <v>0.36899999999999999</v>
      </c>
      <c r="G45" s="5">
        <v>0.45100000000000001</v>
      </c>
      <c r="H45" s="5">
        <v>0.52500000000000002</v>
      </c>
      <c r="I45" s="5">
        <v>0.6</v>
      </c>
      <c r="J45" s="5">
        <v>0.65300000000000002</v>
      </c>
      <c r="K45" s="5">
        <v>0.71</v>
      </c>
      <c r="L45" s="5">
        <v>0.751</v>
      </c>
      <c r="M45" s="5">
        <v>0.79900000000000004</v>
      </c>
      <c r="N45" s="5">
        <v>0.84199999999999997</v>
      </c>
      <c r="O45" s="5">
        <v>0.85499999999999998</v>
      </c>
      <c r="P45" s="5">
        <v>0.874</v>
      </c>
      <c r="Q45" s="5">
        <v>0.89100000000000001</v>
      </c>
      <c r="R45" s="5">
        <v>0.90900000000000003</v>
      </c>
      <c r="S45" s="5">
        <v>0.91800000000000004</v>
      </c>
      <c r="T45" s="5">
        <v>0.94199999999999995</v>
      </c>
      <c r="U45" s="5">
        <v>0.96599999999999997</v>
      </c>
      <c r="V45" s="5">
        <v>0.95</v>
      </c>
      <c r="W45" s="5">
        <v>0.96899999999999997</v>
      </c>
      <c r="X45" s="5">
        <v>0.98</v>
      </c>
      <c r="Y45" s="5">
        <v>0.98899999999999999</v>
      </c>
      <c r="Z45" s="5">
        <v>0.99399999999999999</v>
      </c>
      <c r="AA45" s="5">
        <v>0.999</v>
      </c>
      <c r="AB45" s="5">
        <v>1.0049999999999999</v>
      </c>
      <c r="AC45" s="5">
        <v>1.0129999999999999</v>
      </c>
      <c r="AD45" s="5">
        <v>29.452999999999999</v>
      </c>
    </row>
    <row r="46" spans="1:30" x14ac:dyDescent="0.3">
      <c r="A46" s="12"/>
      <c r="B46" s="12"/>
      <c r="C46" s="12"/>
      <c r="D46" s="1">
        <v>43</v>
      </c>
      <c r="E46" s="5">
        <v>0.28100000000000003</v>
      </c>
      <c r="F46" s="5">
        <v>0.371</v>
      </c>
      <c r="G46" s="5">
        <v>0.46300000000000002</v>
      </c>
      <c r="H46" s="5">
        <v>0.53900000000000003</v>
      </c>
      <c r="I46" s="5">
        <v>0.60499999999999998</v>
      </c>
      <c r="J46" s="5">
        <v>0.65</v>
      </c>
      <c r="K46" s="5">
        <v>0.69799999999999995</v>
      </c>
      <c r="L46" s="5">
        <v>0.73499999999999999</v>
      </c>
      <c r="M46" s="5">
        <v>0.77300000000000002</v>
      </c>
      <c r="N46" s="5">
        <v>0.79</v>
      </c>
      <c r="O46" s="5">
        <v>0.81599999999999995</v>
      </c>
      <c r="P46" s="5">
        <v>0.83499999999999996</v>
      </c>
      <c r="Q46" s="5">
        <v>0.86099999999999999</v>
      </c>
      <c r="R46" s="5">
        <v>0.89200000000000002</v>
      </c>
      <c r="S46" s="5">
        <v>0.90900000000000003</v>
      </c>
      <c r="T46" s="5">
        <v>0.92800000000000005</v>
      </c>
      <c r="U46" s="5">
        <v>0.95</v>
      </c>
      <c r="V46" s="5">
        <v>0.95599999999999996</v>
      </c>
      <c r="W46" s="5">
        <v>0.95599999999999996</v>
      </c>
      <c r="X46" s="5">
        <v>0.98499999999999999</v>
      </c>
      <c r="Y46" s="5">
        <v>0.996</v>
      </c>
      <c r="Z46" s="5">
        <v>1.022</v>
      </c>
      <c r="AA46" s="5">
        <v>1.032</v>
      </c>
      <c r="AB46" s="5">
        <v>1.0469999999999999</v>
      </c>
      <c r="AC46" s="5">
        <v>0.98899999999999999</v>
      </c>
      <c r="AD46" s="5">
        <v>29.32</v>
      </c>
    </row>
    <row r="47" spans="1:30" x14ac:dyDescent="0.3">
      <c r="A47" s="12"/>
      <c r="B47" s="12"/>
      <c r="C47" s="12"/>
      <c r="D47" s="1">
        <v>44</v>
      </c>
      <c r="E47" s="5">
        <v>0.28999999999999998</v>
      </c>
      <c r="F47" s="5">
        <v>0.36899999999999999</v>
      </c>
      <c r="G47" s="5">
        <v>0.46100000000000002</v>
      </c>
      <c r="H47" s="5">
        <v>0.54</v>
      </c>
      <c r="I47" s="5">
        <v>0.61699999999999999</v>
      </c>
      <c r="J47" s="5">
        <v>0.67400000000000004</v>
      </c>
      <c r="K47" s="5">
        <v>0.70899999999999996</v>
      </c>
      <c r="L47" s="5">
        <v>0.75</v>
      </c>
      <c r="M47" s="5">
        <v>0.79600000000000004</v>
      </c>
      <c r="N47" s="5">
        <v>0.82099999999999995</v>
      </c>
      <c r="O47" s="5">
        <v>0.84199999999999997</v>
      </c>
      <c r="P47" s="5">
        <v>0.86199999999999999</v>
      </c>
      <c r="Q47" s="5">
        <v>0.88700000000000001</v>
      </c>
      <c r="R47" s="5">
        <v>0.90400000000000003</v>
      </c>
      <c r="S47" s="5">
        <v>0.90300000000000002</v>
      </c>
      <c r="T47" s="5">
        <v>0.93700000000000006</v>
      </c>
      <c r="U47" s="5">
        <v>0.94699999999999995</v>
      </c>
      <c r="V47" s="5">
        <v>0.95299999999999996</v>
      </c>
      <c r="W47" s="5">
        <v>0.95799999999999996</v>
      </c>
      <c r="X47" s="5">
        <v>0.97299999999999998</v>
      </c>
      <c r="Y47" s="5">
        <v>0.97099999999999997</v>
      </c>
      <c r="Z47" s="5">
        <v>0.98799999999999999</v>
      </c>
      <c r="AA47" s="5">
        <v>0.98299999999999998</v>
      </c>
      <c r="AB47" s="5">
        <v>0.99</v>
      </c>
      <c r="AC47" s="5">
        <v>0.97199999999999998</v>
      </c>
      <c r="AD47" s="5">
        <v>29.428999999999998</v>
      </c>
    </row>
    <row r="48" spans="1:30" x14ac:dyDescent="0.3">
      <c r="A48" s="12"/>
      <c r="B48" s="12"/>
      <c r="C48" s="12"/>
      <c r="D48" s="1">
        <v>45</v>
      </c>
      <c r="E48" s="5">
        <v>0.311</v>
      </c>
      <c r="F48" s="5">
        <v>0.372</v>
      </c>
      <c r="G48" s="5">
        <v>0.45900000000000002</v>
      </c>
      <c r="H48" s="5">
        <v>0.53500000000000003</v>
      </c>
      <c r="I48" s="5">
        <v>0.61099999999999999</v>
      </c>
      <c r="J48" s="5">
        <v>0.66200000000000003</v>
      </c>
      <c r="K48" s="5">
        <v>0.69899999999999995</v>
      </c>
      <c r="L48" s="5">
        <v>0.73299999999999998</v>
      </c>
      <c r="M48" s="5">
        <v>0.76600000000000001</v>
      </c>
      <c r="N48" s="5">
        <v>0.80300000000000005</v>
      </c>
      <c r="O48" s="5">
        <v>0.82199999999999995</v>
      </c>
      <c r="P48" s="5">
        <v>0.84099999999999997</v>
      </c>
      <c r="Q48" s="5">
        <v>0.875</v>
      </c>
      <c r="R48" s="5">
        <v>0.88900000000000001</v>
      </c>
      <c r="S48" s="5">
        <v>0.91500000000000004</v>
      </c>
      <c r="T48" s="5">
        <v>0.94399999999999995</v>
      </c>
      <c r="U48" s="5">
        <v>0.98699999999999999</v>
      </c>
      <c r="V48" s="5">
        <v>0.97799999999999998</v>
      </c>
      <c r="W48" s="5">
        <v>0.97499999999999998</v>
      </c>
      <c r="X48" s="5">
        <v>0.98299999999999998</v>
      </c>
      <c r="Y48" s="5">
        <v>0.98199999999999998</v>
      </c>
      <c r="Z48" s="5">
        <v>0.999</v>
      </c>
      <c r="AA48" s="5">
        <v>1.02</v>
      </c>
      <c r="AB48" s="5">
        <v>1.014</v>
      </c>
      <c r="AC48" s="5">
        <v>1</v>
      </c>
      <c r="AD48" s="5">
        <v>29.452999999999999</v>
      </c>
    </row>
    <row r="49" spans="1:30" x14ac:dyDescent="0.3">
      <c r="A49" s="12"/>
      <c r="B49" s="12"/>
      <c r="C49" s="12"/>
      <c r="D49" s="1">
        <v>46</v>
      </c>
      <c r="E49" s="5">
        <v>0.28199999999999997</v>
      </c>
      <c r="F49" s="5">
        <v>0.36299999999999999</v>
      </c>
      <c r="G49" s="5">
        <v>0.45400000000000001</v>
      </c>
      <c r="H49" s="5">
        <v>0.53700000000000003</v>
      </c>
      <c r="I49" s="5">
        <v>0.60299999999999998</v>
      </c>
      <c r="J49" s="5">
        <v>0.66500000000000004</v>
      </c>
      <c r="K49" s="5">
        <v>0.70599999999999996</v>
      </c>
      <c r="L49" s="5">
        <v>0.751</v>
      </c>
      <c r="M49" s="5">
        <v>0.78900000000000003</v>
      </c>
      <c r="N49" s="5">
        <v>0.80600000000000005</v>
      </c>
      <c r="O49" s="5">
        <v>0.84799999999999998</v>
      </c>
      <c r="P49" s="5">
        <v>0.85099999999999998</v>
      </c>
      <c r="Q49" s="5">
        <v>0.872</v>
      </c>
      <c r="R49" s="5">
        <v>0.90100000000000002</v>
      </c>
      <c r="S49" s="5">
        <v>0.91700000000000004</v>
      </c>
      <c r="T49" s="5">
        <v>0.94099999999999995</v>
      </c>
      <c r="U49" s="5">
        <v>0.96</v>
      </c>
      <c r="V49" s="5">
        <v>0.95799999999999996</v>
      </c>
      <c r="W49" s="5">
        <v>0.97099999999999997</v>
      </c>
      <c r="X49" s="5">
        <v>0.96699999999999997</v>
      </c>
      <c r="Y49" s="5">
        <v>0.97599999999999998</v>
      </c>
      <c r="Z49" s="5">
        <v>0.99</v>
      </c>
      <c r="AA49" s="5">
        <v>0.99399999999999999</v>
      </c>
      <c r="AB49" s="5">
        <v>1.012</v>
      </c>
      <c r="AC49" s="5">
        <v>0.996</v>
      </c>
      <c r="AD49" s="5">
        <v>29.472000000000001</v>
      </c>
    </row>
    <row r="50" spans="1:30" x14ac:dyDescent="0.3">
      <c r="A50" s="12"/>
      <c r="B50" s="12"/>
      <c r="C50" s="12"/>
      <c r="D50" s="1">
        <v>47</v>
      </c>
      <c r="E50" s="5">
        <v>0.28599999999999998</v>
      </c>
      <c r="F50" s="5">
        <v>0.36699999999999999</v>
      </c>
      <c r="G50" s="5">
        <v>0.45700000000000002</v>
      </c>
      <c r="H50" s="5">
        <v>0.54</v>
      </c>
      <c r="I50" s="5">
        <v>0.61299999999999999</v>
      </c>
      <c r="J50" s="5">
        <v>0.67</v>
      </c>
      <c r="K50" s="5">
        <v>0.72599999999999998</v>
      </c>
      <c r="L50" s="5">
        <v>0.75700000000000001</v>
      </c>
      <c r="M50" s="5">
        <v>0.78100000000000003</v>
      </c>
      <c r="N50" s="5">
        <v>0.82899999999999996</v>
      </c>
      <c r="O50" s="5">
        <v>0.84599999999999997</v>
      </c>
      <c r="P50" s="5">
        <v>0.85899999999999999</v>
      </c>
      <c r="Q50" s="5">
        <v>0.88800000000000001</v>
      </c>
      <c r="R50" s="5">
        <v>0.89900000000000002</v>
      </c>
      <c r="S50" s="5">
        <v>0.91400000000000003</v>
      </c>
      <c r="T50" s="5">
        <v>0.93899999999999995</v>
      </c>
      <c r="U50" s="5">
        <v>0.95</v>
      </c>
      <c r="V50" s="5">
        <v>0.97599999999999998</v>
      </c>
      <c r="W50" s="5">
        <v>0.97299999999999998</v>
      </c>
      <c r="X50" s="5">
        <v>0.97699999999999998</v>
      </c>
      <c r="Y50" s="5">
        <v>0.97899999999999998</v>
      </c>
      <c r="Z50" s="5">
        <v>0.998</v>
      </c>
      <c r="AA50" s="5">
        <v>0.99399999999999999</v>
      </c>
      <c r="AB50" s="5">
        <v>0.98499999999999999</v>
      </c>
      <c r="AC50" s="5">
        <v>0.97699999999999998</v>
      </c>
      <c r="AD50" s="5">
        <v>29.486000000000001</v>
      </c>
    </row>
    <row r="51" spans="1:30" x14ac:dyDescent="0.3">
      <c r="A51" s="12"/>
      <c r="B51" s="12"/>
      <c r="C51" s="12"/>
      <c r="D51" s="1">
        <v>48</v>
      </c>
      <c r="E51" s="5">
        <v>0.28699999999999998</v>
      </c>
      <c r="F51" s="5">
        <v>0.377</v>
      </c>
      <c r="G51" s="5">
        <v>0.46400000000000002</v>
      </c>
      <c r="H51" s="5">
        <v>0.54200000000000004</v>
      </c>
      <c r="I51" s="5">
        <v>0.61499999999999999</v>
      </c>
      <c r="J51" s="5">
        <v>0.66600000000000004</v>
      </c>
      <c r="K51" s="5">
        <v>0.71199999999999997</v>
      </c>
      <c r="L51" s="5">
        <v>0.75</v>
      </c>
      <c r="M51" s="5">
        <v>0.78600000000000003</v>
      </c>
      <c r="N51" s="5">
        <v>0.84099999999999997</v>
      </c>
      <c r="O51" s="5">
        <v>0.84099999999999997</v>
      </c>
      <c r="P51" s="5">
        <v>0.87</v>
      </c>
      <c r="Q51" s="5">
        <v>0.90200000000000002</v>
      </c>
      <c r="R51" s="5">
        <v>0.91800000000000004</v>
      </c>
      <c r="S51" s="5">
        <v>0.92600000000000005</v>
      </c>
      <c r="T51" s="5">
        <v>0.93300000000000005</v>
      </c>
      <c r="U51" s="5">
        <v>0.96199999999999997</v>
      </c>
      <c r="V51" s="5">
        <v>0.95899999999999996</v>
      </c>
      <c r="W51" s="5">
        <v>0.96</v>
      </c>
      <c r="X51" s="5">
        <v>0.97299999999999998</v>
      </c>
      <c r="Y51" s="5">
        <v>0.98599999999999999</v>
      </c>
      <c r="Z51" s="5">
        <v>0.99299999999999999</v>
      </c>
      <c r="AA51" s="5">
        <v>1.0009999999999999</v>
      </c>
      <c r="AB51" s="5">
        <v>1</v>
      </c>
      <c r="AC51" s="5">
        <v>0.998</v>
      </c>
      <c r="AD51" s="5">
        <v>29.225000000000001</v>
      </c>
    </row>
    <row r="52" spans="1:30" x14ac:dyDescent="0.3">
      <c r="A52" s="12"/>
      <c r="B52" s="12"/>
      <c r="C52" s="12"/>
      <c r="D52" s="1">
        <v>49</v>
      </c>
      <c r="E52" s="5">
        <v>0.30199999999999999</v>
      </c>
      <c r="F52" s="5">
        <v>0.377</v>
      </c>
      <c r="G52" s="5">
        <v>0.46600000000000003</v>
      </c>
      <c r="H52" s="5">
        <v>0.54700000000000004</v>
      </c>
      <c r="I52" s="5">
        <v>0.61099999999999999</v>
      </c>
      <c r="J52" s="5">
        <v>0.66700000000000004</v>
      </c>
      <c r="K52" s="5">
        <v>0.71</v>
      </c>
      <c r="L52" s="5">
        <v>0.75</v>
      </c>
      <c r="M52" s="5">
        <v>0.79600000000000004</v>
      </c>
      <c r="N52" s="5">
        <v>0.81499999999999995</v>
      </c>
      <c r="O52" s="5">
        <v>0.83399999999999996</v>
      </c>
      <c r="P52" s="5">
        <v>0.85699999999999998</v>
      </c>
      <c r="Q52" s="5">
        <v>0.878</v>
      </c>
      <c r="R52" s="5">
        <v>0.89400000000000002</v>
      </c>
      <c r="S52" s="5">
        <v>0.91700000000000004</v>
      </c>
      <c r="T52" s="5">
        <v>0.93600000000000005</v>
      </c>
      <c r="U52" s="5">
        <v>0.96399999999999997</v>
      </c>
      <c r="V52" s="5">
        <v>0.97399999999999998</v>
      </c>
      <c r="W52" s="5">
        <v>0.98499999999999999</v>
      </c>
      <c r="X52" s="5">
        <v>0.95899999999999996</v>
      </c>
      <c r="Y52" s="5">
        <v>0.98499999999999999</v>
      </c>
      <c r="Z52" s="5">
        <v>1.0009999999999999</v>
      </c>
      <c r="AA52" s="5">
        <v>0.99</v>
      </c>
      <c r="AB52" s="5">
        <v>1.01</v>
      </c>
      <c r="AC52" s="5">
        <v>0.97299999999999998</v>
      </c>
      <c r="AD52" s="5">
        <v>29.37</v>
      </c>
    </row>
    <row r="53" spans="1:30" x14ac:dyDescent="0.3">
      <c r="A53" s="12"/>
      <c r="B53" s="12"/>
      <c r="C53" s="12"/>
      <c r="D53" s="1">
        <v>50</v>
      </c>
      <c r="E53" s="5">
        <v>0.28399999999999997</v>
      </c>
      <c r="F53" s="5">
        <v>0.36799999999999999</v>
      </c>
      <c r="G53" s="5">
        <v>0.44700000000000001</v>
      </c>
      <c r="H53" s="5">
        <v>0.52900000000000003</v>
      </c>
      <c r="I53" s="5">
        <v>0.59799999999999998</v>
      </c>
      <c r="J53" s="5">
        <v>0.65600000000000003</v>
      </c>
      <c r="K53" s="5">
        <v>0.70499999999999996</v>
      </c>
      <c r="L53" s="5">
        <v>0.73399999999999999</v>
      </c>
      <c r="M53" s="5">
        <v>0.79400000000000004</v>
      </c>
      <c r="N53" s="5">
        <v>0.82399999999999995</v>
      </c>
      <c r="O53" s="5">
        <v>0.82799999999999996</v>
      </c>
      <c r="P53" s="5">
        <v>0.85099999999999998</v>
      </c>
      <c r="Q53" s="5">
        <v>0.875</v>
      </c>
      <c r="R53" s="5">
        <v>0.89400000000000002</v>
      </c>
      <c r="S53" s="5">
        <v>0.91900000000000004</v>
      </c>
      <c r="T53" s="5">
        <v>0.96799999999999997</v>
      </c>
      <c r="U53" s="5">
        <v>0.96399999999999997</v>
      </c>
      <c r="V53" s="5">
        <v>0.997</v>
      </c>
      <c r="W53" s="5">
        <v>0.96399999999999997</v>
      </c>
      <c r="X53" s="5">
        <v>0.96</v>
      </c>
      <c r="Y53" s="5">
        <v>0.97299999999999998</v>
      </c>
      <c r="Z53" s="5">
        <v>0.99299999999999999</v>
      </c>
      <c r="AA53" s="5">
        <v>0.98699999999999999</v>
      </c>
      <c r="AB53" s="5">
        <v>1.002</v>
      </c>
      <c r="AC53" s="5">
        <v>0.96799999999999997</v>
      </c>
      <c r="AD53" s="5">
        <v>29.507000000000001</v>
      </c>
    </row>
    <row r="54" spans="1:30" x14ac:dyDescent="0.3">
      <c r="A54" s="12"/>
      <c r="B54" s="12"/>
      <c r="C54" s="12"/>
      <c r="D54" s="1">
        <v>51</v>
      </c>
      <c r="E54" s="5">
        <v>0.32100000000000001</v>
      </c>
      <c r="F54" s="5">
        <v>0.38200000000000001</v>
      </c>
      <c r="G54" s="5">
        <v>0.46899999999999997</v>
      </c>
      <c r="H54" s="5">
        <v>0.54400000000000004</v>
      </c>
      <c r="I54" s="5">
        <v>0.60899999999999999</v>
      </c>
      <c r="J54" s="5">
        <v>0.66100000000000003</v>
      </c>
      <c r="K54" s="5">
        <v>0.70899999999999996</v>
      </c>
      <c r="L54" s="5">
        <v>0.73699999999999999</v>
      </c>
      <c r="M54" s="5">
        <v>0.77300000000000002</v>
      </c>
      <c r="N54" s="5">
        <v>0.79800000000000004</v>
      </c>
      <c r="O54" s="5">
        <v>0.80900000000000005</v>
      </c>
      <c r="P54" s="5">
        <v>0.83699999999999997</v>
      </c>
      <c r="Q54" s="5">
        <v>0.871</v>
      </c>
      <c r="R54" s="5">
        <v>0.89400000000000002</v>
      </c>
      <c r="S54" s="5">
        <v>0.93400000000000005</v>
      </c>
      <c r="T54" s="5">
        <v>0.93899999999999995</v>
      </c>
      <c r="U54" s="5">
        <v>0.96599999999999997</v>
      </c>
      <c r="V54" s="5">
        <v>0.97699999999999998</v>
      </c>
      <c r="W54" s="5">
        <v>0.997</v>
      </c>
      <c r="X54" s="5">
        <v>1.002</v>
      </c>
      <c r="Y54" s="5">
        <v>1.006</v>
      </c>
      <c r="Z54" s="5">
        <v>1.0209999999999999</v>
      </c>
      <c r="AA54" s="5">
        <v>1.024</v>
      </c>
      <c r="AB54" s="5">
        <v>1.0389999999999999</v>
      </c>
      <c r="AC54" s="5">
        <v>1.004</v>
      </c>
      <c r="AD54" s="5">
        <v>29.161000000000001</v>
      </c>
    </row>
    <row r="55" spans="1:30" x14ac:dyDescent="0.3">
      <c r="A55" s="12"/>
      <c r="B55" s="12"/>
      <c r="C55" s="12"/>
      <c r="D55" s="1">
        <v>52</v>
      </c>
      <c r="E55" s="5">
        <v>0.29399999999999998</v>
      </c>
      <c r="F55" s="5">
        <v>0.373</v>
      </c>
      <c r="G55" s="5">
        <v>0.46400000000000002</v>
      </c>
      <c r="H55" s="5">
        <v>0.54500000000000004</v>
      </c>
      <c r="I55" s="5">
        <v>0.61499999999999999</v>
      </c>
      <c r="J55" s="5">
        <v>0.66500000000000004</v>
      </c>
      <c r="K55" s="5">
        <v>0.70499999999999996</v>
      </c>
      <c r="L55" s="5">
        <v>0.74399999999999999</v>
      </c>
      <c r="M55" s="5">
        <v>0.77600000000000002</v>
      </c>
      <c r="N55" s="5">
        <v>0.8</v>
      </c>
      <c r="O55" s="5">
        <v>0.82899999999999996</v>
      </c>
      <c r="P55" s="5">
        <v>0.85199999999999998</v>
      </c>
      <c r="Q55" s="5">
        <v>0.874</v>
      </c>
      <c r="R55" s="5">
        <v>0.9</v>
      </c>
      <c r="S55" s="5">
        <v>0.92200000000000004</v>
      </c>
      <c r="T55" s="5">
        <v>0.94399999999999995</v>
      </c>
      <c r="U55" s="5">
        <v>0.97899999999999998</v>
      </c>
      <c r="V55" s="5">
        <v>0.98499999999999999</v>
      </c>
      <c r="W55" s="5">
        <v>0.96699999999999997</v>
      </c>
      <c r="X55" s="5">
        <v>0.97799999999999998</v>
      </c>
      <c r="Y55" s="5">
        <v>0.98</v>
      </c>
      <c r="Z55" s="5">
        <v>0.97599999999999998</v>
      </c>
      <c r="AA55" s="5">
        <v>0.98</v>
      </c>
      <c r="AB55" s="5">
        <v>0.99299999999999999</v>
      </c>
      <c r="AC55" s="5">
        <v>0.97799999999999998</v>
      </c>
      <c r="AD55" s="5">
        <v>29.096</v>
      </c>
    </row>
    <row r="56" spans="1:30" x14ac:dyDescent="0.3">
      <c r="A56" s="12"/>
      <c r="B56" s="12"/>
      <c r="C56" s="12"/>
      <c r="D56" s="1">
        <v>53</v>
      </c>
      <c r="E56" s="5">
        <v>0.33100000000000002</v>
      </c>
      <c r="F56" s="5">
        <v>0.38700000000000001</v>
      </c>
      <c r="G56" s="5">
        <v>0.46300000000000002</v>
      </c>
      <c r="H56" s="5">
        <v>0.54300000000000004</v>
      </c>
      <c r="I56" s="5">
        <v>0.61899999999999999</v>
      </c>
      <c r="J56" s="5">
        <v>0.66300000000000003</v>
      </c>
      <c r="K56" s="5">
        <v>0.71099999999999997</v>
      </c>
      <c r="L56" s="5">
        <v>0.749</v>
      </c>
      <c r="M56" s="5">
        <v>0.78500000000000003</v>
      </c>
      <c r="N56" s="5">
        <v>0.79600000000000004</v>
      </c>
      <c r="O56" s="5">
        <v>0.82299999999999995</v>
      </c>
      <c r="P56" s="5">
        <v>0.84499999999999997</v>
      </c>
      <c r="Q56" s="5">
        <v>0.88300000000000001</v>
      </c>
      <c r="R56" s="5">
        <v>0.90100000000000002</v>
      </c>
      <c r="S56" s="5">
        <v>0.94199999999999995</v>
      </c>
      <c r="T56" s="5">
        <v>0.95</v>
      </c>
      <c r="U56" s="5">
        <v>0.97799999999999998</v>
      </c>
      <c r="V56" s="5">
        <v>0.98799999999999999</v>
      </c>
      <c r="W56" s="5">
        <v>0.98399999999999999</v>
      </c>
      <c r="X56" s="5">
        <v>0.999</v>
      </c>
      <c r="Y56" s="5">
        <v>1</v>
      </c>
      <c r="Z56" s="5">
        <v>1.018</v>
      </c>
      <c r="AA56" s="5">
        <v>1.036</v>
      </c>
      <c r="AB56" s="5">
        <v>1.042</v>
      </c>
      <c r="AC56" s="5">
        <v>1.0349999999999999</v>
      </c>
      <c r="AD56" s="5">
        <v>29.35</v>
      </c>
    </row>
    <row r="57" spans="1:30" x14ac:dyDescent="0.3">
      <c r="A57" s="12"/>
      <c r="B57" s="12"/>
      <c r="C57" s="12"/>
      <c r="D57" s="1">
        <v>54</v>
      </c>
      <c r="E57" s="5">
        <v>0.28999999999999998</v>
      </c>
      <c r="F57" s="5">
        <v>0.378</v>
      </c>
      <c r="G57" s="5">
        <v>0.45600000000000002</v>
      </c>
      <c r="H57" s="5">
        <v>0.53800000000000003</v>
      </c>
      <c r="I57" s="5">
        <v>0.624</v>
      </c>
      <c r="J57" s="5">
        <v>0.68300000000000005</v>
      </c>
      <c r="K57" s="5">
        <v>0.72499999999999998</v>
      </c>
      <c r="L57" s="5">
        <v>0.754</v>
      </c>
      <c r="M57" s="5">
        <v>0.77700000000000002</v>
      </c>
      <c r="N57" s="5">
        <v>0.81100000000000005</v>
      </c>
      <c r="O57" s="5">
        <v>0.81899999999999995</v>
      </c>
      <c r="P57" s="5">
        <v>0.84299999999999997</v>
      </c>
      <c r="Q57" s="5">
        <v>0.88700000000000001</v>
      </c>
      <c r="R57" s="5">
        <v>0.90600000000000003</v>
      </c>
      <c r="S57" s="5">
        <v>0.92800000000000005</v>
      </c>
      <c r="T57" s="5">
        <v>0.94699999999999995</v>
      </c>
      <c r="U57" s="5">
        <v>0.97199999999999998</v>
      </c>
      <c r="V57" s="5">
        <v>0.98499999999999999</v>
      </c>
      <c r="W57" s="5">
        <v>0.97299999999999998</v>
      </c>
      <c r="X57" s="5">
        <v>0.98599999999999999</v>
      </c>
      <c r="Y57" s="5">
        <v>0.97899999999999998</v>
      </c>
      <c r="Z57" s="5">
        <v>0.97799999999999998</v>
      </c>
      <c r="AA57" s="5">
        <v>1.0149999999999999</v>
      </c>
      <c r="AB57" s="5">
        <v>1.0209999999999999</v>
      </c>
      <c r="AC57" s="5">
        <v>1.0269999999999999</v>
      </c>
      <c r="AD57" s="5">
        <v>29.416</v>
      </c>
    </row>
    <row r="58" spans="1:30" x14ac:dyDescent="0.3">
      <c r="A58" s="12"/>
      <c r="B58" s="12"/>
      <c r="C58" s="12"/>
      <c r="D58" s="1">
        <v>55</v>
      </c>
      <c r="E58" s="5">
        <v>0.29199999999999998</v>
      </c>
      <c r="F58" s="5">
        <v>0.36199999999999999</v>
      </c>
      <c r="G58" s="5">
        <v>0.45700000000000002</v>
      </c>
      <c r="H58" s="5">
        <v>0.54100000000000004</v>
      </c>
      <c r="I58" s="5">
        <v>0.61</v>
      </c>
      <c r="J58" s="5">
        <v>0.66300000000000003</v>
      </c>
      <c r="K58" s="5">
        <v>0.71199999999999997</v>
      </c>
      <c r="L58" s="5">
        <v>0.754</v>
      </c>
      <c r="M58" s="5">
        <v>0.80200000000000005</v>
      </c>
      <c r="N58" s="5">
        <v>0.83399999999999996</v>
      </c>
      <c r="O58" s="5">
        <v>0.84399999999999997</v>
      </c>
      <c r="P58" s="5">
        <v>0.86</v>
      </c>
      <c r="Q58" s="5">
        <v>0.89300000000000002</v>
      </c>
      <c r="R58" s="5">
        <v>0.89700000000000002</v>
      </c>
      <c r="S58" s="5">
        <v>0.93799999999999994</v>
      </c>
      <c r="T58" s="5">
        <v>0.95199999999999996</v>
      </c>
      <c r="U58" s="5">
        <v>0.98099999999999998</v>
      </c>
      <c r="V58" s="5">
        <v>0.98399999999999999</v>
      </c>
      <c r="W58" s="5">
        <v>0.97699999999999998</v>
      </c>
      <c r="X58" s="5">
        <v>0.98099999999999998</v>
      </c>
      <c r="Y58" s="5">
        <v>0.98099999999999998</v>
      </c>
      <c r="Z58" s="5">
        <v>1.0029999999999999</v>
      </c>
      <c r="AA58" s="5">
        <v>1</v>
      </c>
      <c r="AB58" s="5">
        <v>1.0029999999999999</v>
      </c>
      <c r="AC58" s="5">
        <v>0.996</v>
      </c>
      <c r="AD58" s="5">
        <v>29.35</v>
      </c>
    </row>
    <row r="59" spans="1:30" x14ac:dyDescent="0.3">
      <c r="A59" s="12"/>
      <c r="B59" s="12"/>
      <c r="C59" s="12"/>
      <c r="D59" s="1">
        <v>56</v>
      </c>
      <c r="E59" s="5">
        <v>0.28499999999999998</v>
      </c>
      <c r="F59" s="5">
        <v>0.372</v>
      </c>
      <c r="G59" s="5">
        <v>0.46200000000000002</v>
      </c>
      <c r="H59" s="5">
        <v>0.53900000000000003</v>
      </c>
      <c r="I59" s="5">
        <v>0.61</v>
      </c>
      <c r="J59" s="5">
        <v>0.65700000000000003</v>
      </c>
      <c r="K59" s="5">
        <v>0.69499999999999995</v>
      </c>
      <c r="L59" s="5">
        <v>0.74</v>
      </c>
      <c r="M59" s="5">
        <v>0.79</v>
      </c>
      <c r="N59" s="5">
        <v>0.83599999999999997</v>
      </c>
      <c r="O59" s="5">
        <v>0.84699999999999998</v>
      </c>
      <c r="P59" s="5">
        <v>0.875</v>
      </c>
      <c r="Q59" s="5">
        <v>0.89100000000000001</v>
      </c>
      <c r="R59" s="5">
        <v>0.91300000000000003</v>
      </c>
      <c r="S59" s="5">
        <v>0.91500000000000004</v>
      </c>
      <c r="T59" s="5">
        <v>0.93400000000000005</v>
      </c>
      <c r="U59" s="5">
        <v>0.96499999999999997</v>
      </c>
      <c r="V59" s="5">
        <v>0.96499999999999997</v>
      </c>
      <c r="W59" s="5">
        <v>0.97399999999999998</v>
      </c>
      <c r="X59" s="5">
        <v>0.98499999999999999</v>
      </c>
      <c r="Y59" s="5">
        <v>0.96799999999999997</v>
      </c>
      <c r="Z59" s="5">
        <v>0.97199999999999998</v>
      </c>
      <c r="AA59" s="5">
        <v>0.995</v>
      </c>
      <c r="AB59" s="5">
        <v>0.98199999999999998</v>
      </c>
      <c r="AC59" s="5">
        <v>0.97299999999999998</v>
      </c>
      <c r="AD59" s="5">
        <v>29.224</v>
      </c>
    </row>
    <row r="60" spans="1:30" x14ac:dyDescent="0.3">
      <c r="A60" s="12"/>
      <c r="B60" s="12"/>
      <c r="C60" s="12"/>
      <c r="D60" s="1">
        <v>57</v>
      </c>
      <c r="E60" s="5">
        <v>0.307</v>
      </c>
      <c r="F60" s="5">
        <v>0.377</v>
      </c>
      <c r="G60" s="5">
        <v>0.46400000000000002</v>
      </c>
      <c r="H60" s="5">
        <v>0.54500000000000004</v>
      </c>
      <c r="I60" s="5">
        <v>0.61299999999999999</v>
      </c>
      <c r="J60" s="5">
        <v>0.67300000000000004</v>
      </c>
      <c r="K60" s="5">
        <v>0.71199999999999997</v>
      </c>
      <c r="L60" s="5">
        <v>0.74399999999999999</v>
      </c>
      <c r="M60" s="5">
        <v>0.79900000000000004</v>
      </c>
      <c r="N60" s="5">
        <v>0.84299999999999997</v>
      </c>
      <c r="O60" s="5">
        <v>0.86</v>
      </c>
      <c r="P60" s="5">
        <v>0.89200000000000002</v>
      </c>
      <c r="Q60" s="5">
        <v>0.88800000000000001</v>
      </c>
      <c r="R60" s="5">
        <v>0.9</v>
      </c>
      <c r="S60" s="5">
        <v>0.91200000000000003</v>
      </c>
      <c r="T60" s="5">
        <v>0.94499999999999995</v>
      </c>
      <c r="U60" s="5">
        <v>0.96599999999999997</v>
      </c>
      <c r="V60" s="5">
        <v>1.002</v>
      </c>
      <c r="W60" s="5">
        <v>0.96799999999999997</v>
      </c>
      <c r="X60" s="5">
        <v>0.98199999999999998</v>
      </c>
      <c r="Y60" s="5">
        <v>0.96699999999999997</v>
      </c>
      <c r="Z60" s="5">
        <v>0.97699999999999998</v>
      </c>
      <c r="AA60" s="5">
        <v>0.98099999999999998</v>
      </c>
      <c r="AB60" s="5">
        <v>0.98299999999999998</v>
      </c>
      <c r="AC60" s="5">
        <v>0.97699999999999998</v>
      </c>
      <c r="AD60" s="5">
        <v>29.277999999999999</v>
      </c>
    </row>
    <row r="61" spans="1:30" x14ac:dyDescent="0.3">
      <c r="A61" s="12"/>
      <c r="B61" s="12"/>
      <c r="C61" s="12"/>
      <c r="D61" s="1">
        <v>58</v>
      </c>
      <c r="E61" s="5">
        <v>0.30399999999999999</v>
      </c>
      <c r="F61" s="5">
        <v>0.38100000000000001</v>
      </c>
      <c r="G61" s="5">
        <v>0.46899999999999997</v>
      </c>
      <c r="H61" s="5">
        <v>0.54600000000000004</v>
      </c>
      <c r="I61" s="5">
        <v>0.63800000000000001</v>
      </c>
      <c r="J61" s="5">
        <v>0.66200000000000003</v>
      </c>
      <c r="K61" s="5">
        <v>0.70799999999999996</v>
      </c>
      <c r="L61" s="5">
        <v>0.746</v>
      </c>
      <c r="M61" s="5">
        <v>0.77300000000000002</v>
      </c>
      <c r="N61" s="5">
        <v>0.79800000000000004</v>
      </c>
      <c r="O61" s="5">
        <v>0.82299999999999995</v>
      </c>
      <c r="P61" s="5">
        <v>0.84599999999999997</v>
      </c>
      <c r="Q61" s="5">
        <v>0.86799999999999999</v>
      </c>
      <c r="R61" s="5">
        <v>0.91800000000000004</v>
      </c>
      <c r="S61" s="5">
        <v>0.92</v>
      </c>
      <c r="T61" s="5">
        <v>0.94699999999999995</v>
      </c>
      <c r="U61" s="5">
        <v>0.96399999999999997</v>
      </c>
      <c r="V61" s="5">
        <v>0.98099999999999998</v>
      </c>
      <c r="W61" s="5">
        <v>0.98</v>
      </c>
      <c r="X61" s="5">
        <v>0.98799999999999999</v>
      </c>
      <c r="Y61" s="5">
        <v>0.97899999999999998</v>
      </c>
      <c r="Z61" s="5">
        <v>0.98399999999999999</v>
      </c>
      <c r="AA61" s="5">
        <v>0.97299999999999998</v>
      </c>
      <c r="AB61" s="5">
        <v>0.98599999999999999</v>
      </c>
      <c r="AC61" s="5">
        <v>1.0089999999999999</v>
      </c>
      <c r="AD61" s="5">
        <v>29.437999999999999</v>
      </c>
    </row>
    <row r="62" spans="1:30" x14ac:dyDescent="0.3">
      <c r="A62" s="12"/>
      <c r="B62" s="12"/>
      <c r="C62" s="12"/>
      <c r="D62" s="1">
        <v>59</v>
      </c>
      <c r="E62" s="5">
        <v>0.315</v>
      </c>
      <c r="F62" s="5">
        <v>0.39500000000000002</v>
      </c>
      <c r="G62" s="5">
        <v>0.46400000000000002</v>
      </c>
      <c r="H62" s="5">
        <v>0.55800000000000005</v>
      </c>
      <c r="I62" s="5">
        <v>0.61699999999999999</v>
      </c>
      <c r="J62" s="5">
        <v>0.66700000000000004</v>
      </c>
      <c r="K62" s="5">
        <v>0.70799999999999996</v>
      </c>
      <c r="L62" s="5">
        <v>0.74199999999999999</v>
      </c>
      <c r="M62" s="5">
        <v>0.77300000000000002</v>
      </c>
      <c r="N62" s="5">
        <v>0.80300000000000005</v>
      </c>
      <c r="O62" s="5">
        <v>0.81799999999999995</v>
      </c>
      <c r="P62" s="5">
        <v>0.84199999999999997</v>
      </c>
      <c r="Q62" s="5">
        <v>0.877</v>
      </c>
      <c r="R62" s="5">
        <v>0.89200000000000002</v>
      </c>
      <c r="S62" s="5">
        <v>0.91700000000000004</v>
      </c>
      <c r="T62" s="5">
        <v>0.93799999999999994</v>
      </c>
      <c r="U62" s="5">
        <v>0.96099999999999997</v>
      </c>
      <c r="V62" s="5">
        <v>0.96799999999999997</v>
      </c>
      <c r="W62" s="5">
        <v>0.97</v>
      </c>
      <c r="X62" s="5">
        <v>0.96599999999999997</v>
      </c>
      <c r="Y62" s="5">
        <v>0.98199999999999998</v>
      </c>
      <c r="Z62" s="5">
        <v>1.004</v>
      </c>
      <c r="AA62" s="5">
        <v>1.0129999999999999</v>
      </c>
      <c r="AB62" s="5">
        <v>1.0349999999999999</v>
      </c>
      <c r="AC62" s="5">
        <v>1.022</v>
      </c>
      <c r="AD62" s="5">
        <v>29.478999999999999</v>
      </c>
    </row>
    <row r="63" spans="1:30" x14ac:dyDescent="0.3">
      <c r="A63" s="12"/>
      <c r="B63" s="12"/>
      <c r="C63" s="12"/>
      <c r="D63" s="1">
        <v>60</v>
      </c>
      <c r="E63" s="5">
        <v>0.314</v>
      </c>
      <c r="F63" s="5">
        <v>0.38700000000000001</v>
      </c>
      <c r="G63" s="5">
        <v>0.47699999999999998</v>
      </c>
      <c r="H63" s="5">
        <v>0.55800000000000005</v>
      </c>
      <c r="I63" s="5">
        <v>0.625</v>
      </c>
      <c r="J63" s="5">
        <v>0.66800000000000004</v>
      </c>
      <c r="K63" s="5">
        <v>0.72499999999999998</v>
      </c>
      <c r="L63" s="5">
        <v>0.745</v>
      </c>
      <c r="M63" s="5">
        <v>0.78400000000000003</v>
      </c>
      <c r="N63" s="5">
        <v>0.81299999999999994</v>
      </c>
      <c r="O63" s="5">
        <v>0.84299999999999997</v>
      </c>
      <c r="P63" s="5">
        <v>0.872</v>
      </c>
      <c r="Q63" s="5">
        <v>0.879</v>
      </c>
      <c r="R63" s="5">
        <v>0.91300000000000003</v>
      </c>
      <c r="S63" s="5">
        <v>0.91300000000000003</v>
      </c>
      <c r="T63" s="5">
        <v>0.92800000000000005</v>
      </c>
      <c r="U63" s="5">
        <v>0.96899999999999997</v>
      </c>
      <c r="V63" s="5">
        <v>0.96599999999999997</v>
      </c>
      <c r="W63" s="5">
        <v>0.98499999999999999</v>
      </c>
      <c r="X63" s="5">
        <v>0.98899999999999999</v>
      </c>
      <c r="Y63" s="5">
        <v>0.99</v>
      </c>
      <c r="Z63" s="5">
        <v>0.997</v>
      </c>
      <c r="AA63" s="5">
        <v>1.002</v>
      </c>
      <c r="AB63" s="5">
        <v>1.0129999999999999</v>
      </c>
      <c r="AC63" s="5">
        <v>0.98099999999999998</v>
      </c>
      <c r="AD63" s="5">
        <v>29.268999999999998</v>
      </c>
    </row>
    <row r="64" spans="1:30" x14ac:dyDescent="0.3">
      <c r="A64" s="12"/>
      <c r="B64" s="12"/>
      <c r="C64" s="12"/>
      <c r="D64" s="1">
        <v>61</v>
      </c>
      <c r="E64" s="5">
        <v>0.28299999999999997</v>
      </c>
      <c r="F64" s="5">
        <v>0.36899999999999999</v>
      </c>
      <c r="G64" s="5">
        <v>0.46600000000000003</v>
      </c>
      <c r="H64" s="5">
        <v>0.53900000000000003</v>
      </c>
      <c r="I64" s="5">
        <v>0.60799999999999998</v>
      </c>
      <c r="J64" s="5">
        <v>0.66300000000000003</v>
      </c>
      <c r="K64" s="5">
        <v>0.70299999999999996</v>
      </c>
      <c r="L64" s="5">
        <v>0.74199999999999999</v>
      </c>
      <c r="M64" s="5">
        <v>0.78</v>
      </c>
      <c r="N64" s="5">
        <v>0.83099999999999996</v>
      </c>
      <c r="O64" s="5">
        <v>0.84099999999999997</v>
      </c>
      <c r="P64" s="5">
        <v>0.85899999999999999</v>
      </c>
      <c r="Q64" s="5">
        <v>0.878</v>
      </c>
      <c r="R64" s="5">
        <v>0.90500000000000003</v>
      </c>
      <c r="S64" s="5">
        <v>0.90900000000000003</v>
      </c>
      <c r="T64" s="5">
        <v>0.93500000000000005</v>
      </c>
      <c r="U64" s="5">
        <v>0.96399999999999997</v>
      </c>
      <c r="V64" s="5">
        <v>0.97199999999999998</v>
      </c>
      <c r="W64" s="5">
        <v>0.97199999999999998</v>
      </c>
      <c r="X64" s="5">
        <v>0.97899999999999998</v>
      </c>
      <c r="Y64" s="5">
        <v>0.98299999999999998</v>
      </c>
      <c r="Z64" s="5">
        <v>0.96699999999999997</v>
      </c>
      <c r="AA64" s="5">
        <v>0.98099999999999998</v>
      </c>
      <c r="AB64" s="5">
        <v>0.996</v>
      </c>
      <c r="AC64" s="5">
        <v>0.98199999999999998</v>
      </c>
      <c r="AD64" s="5">
        <v>29.292999999999999</v>
      </c>
    </row>
    <row r="65" spans="1:30" x14ac:dyDescent="0.3">
      <c r="A65" s="12"/>
      <c r="B65" s="12"/>
      <c r="C65" s="12"/>
      <c r="D65" s="1">
        <v>62</v>
      </c>
      <c r="E65" s="5">
        <v>0.29199999999999998</v>
      </c>
      <c r="F65" s="5">
        <v>0.372</v>
      </c>
      <c r="G65" s="5">
        <v>0.45200000000000001</v>
      </c>
      <c r="H65" s="5">
        <v>0.53200000000000003</v>
      </c>
      <c r="I65" s="5">
        <v>0.60299999999999998</v>
      </c>
      <c r="J65" s="5">
        <v>0.65700000000000003</v>
      </c>
      <c r="K65" s="5">
        <v>0.69199999999999995</v>
      </c>
      <c r="L65" s="5">
        <v>0.73399999999999999</v>
      </c>
      <c r="M65" s="5">
        <v>0.77</v>
      </c>
      <c r="N65" s="5">
        <v>0.79900000000000004</v>
      </c>
      <c r="O65" s="5">
        <v>0.83099999999999996</v>
      </c>
      <c r="P65" s="5">
        <v>0.84199999999999997</v>
      </c>
      <c r="Q65" s="5">
        <v>0.86699999999999999</v>
      </c>
      <c r="R65" s="5">
        <v>0.88300000000000001</v>
      </c>
      <c r="S65" s="5">
        <v>0.91500000000000004</v>
      </c>
      <c r="T65" s="5">
        <v>0.93300000000000005</v>
      </c>
      <c r="U65" s="5">
        <v>0.97299999999999998</v>
      </c>
      <c r="V65" s="5">
        <v>0.98499999999999999</v>
      </c>
      <c r="W65" s="5">
        <v>0.97899999999999998</v>
      </c>
      <c r="X65" s="5">
        <v>0.98599999999999999</v>
      </c>
      <c r="Y65" s="5">
        <v>0.98399999999999999</v>
      </c>
      <c r="Z65" s="5">
        <v>0.98499999999999999</v>
      </c>
      <c r="AA65" s="5">
        <v>0.98599999999999999</v>
      </c>
      <c r="AB65" s="5">
        <v>0.98099999999999998</v>
      </c>
      <c r="AC65" s="5">
        <v>0.99199999999999999</v>
      </c>
      <c r="AD65" s="5">
        <v>29.466000000000001</v>
      </c>
    </row>
    <row r="66" spans="1:30" x14ac:dyDescent="0.3">
      <c r="A66" s="12"/>
      <c r="B66" s="12"/>
      <c r="C66" s="12"/>
      <c r="D66" s="1">
        <v>63</v>
      </c>
      <c r="E66" s="5">
        <v>0.29599999999999999</v>
      </c>
      <c r="F66" s="5">
        <v>0.378</v>
      </c>
      <c r="G66" s="5">
        <v>0.47199999999999998</v>
      </c>
      <c r="H66" s="5">
        <v>0.55000000000000004</v>
      </c>
      <c r="I66" s="5">
        <v>0.62</v>
      </c>
      <c r="J66" s="5">
        <v>0.67</v>
      </c>
      <c r="K66" s="5">
        <v>0.70599999999999996</v>
      </c>
      <c r="L66" s="5">
        <v>0.74</v>
      </c>
      <c r="M66" s="5">
        <v>0.77300000000000002</v>
      </c>
      <c r="N66" s="5">
        <v>0.79800000000000004</v>
      </c>
      <c r="O66" s="5">
        <v>0.82599999999999996</v>
      </c>
      <c r="P66" s="5">
        <v>0.85099999999999998</v>
      </c>
      <c r="Q66" s="5">
        <v>0.88300000000000001</v>
      </c>
      <c r="R66" s="5">
        <v>0.89300000000000002</v>
      </c>
      <c r="S66" s="5">
        <v>0.91700000000000004</v>
      </c>
      <c r="T66" s="5">
        <v>0.94499999999999995</v>
      </c>
      <c r="U66" s="5">
        <v>0.97</v>
      </c>
      <c r="V66" s="5">
        <v>0.97599999999999998</v>
      </c>
      <c r="W66" s="5">
        <v>0.98</v>
      </c>
      <c r="X66" s="5">
        <v>0.99199999999999999</v>
      </c>
      <c r="Y66" s="5">
        <v>1.018</v>
      </c>
      <c r="Z66" s="5">
        <v>1.0149999999999999</v>
      </c>
      <c r="AA66" s="5">
        <v>0.995</v>
      </c>
      <c r="AB66" s="5">
        <v>0.98199999999999998</v>
      </c>
      <c r="AC66" s="5">
        <v>1</v>
      </c>
      <c r="AD66" s="5">
        <v>29.388000000000002</v>
      </c>
    </row>
    <row r="67" spans="1:30" x14ac:dyDescent="0.3">
      <c r="A67" s="12"/>
      <c r="B67" s="12"/>
      <c r="C67" s="12"/>
      <c r="D67" s="1">
        <v>64</v>
      </c>
      <c r="E67" s="5">
        <v>0.32200000000000001</v>
      </c>
      <c r="F67" s="5">
        <v>0.375</v>
      </c>
      <c r="G67" s="5">
        <v>0.47799999999999998</v>
      </c>
      <c r="H67" s="5">
        <v>0.55000000000000004</v>
      </c>
      <c r="I67" s="5">
        <v>0.61799999999999999</v>
      </c>
      <c r="J67" s="5">
        <v>0.67700000000000005</v>
      </c>
      <c r="K67" s="5">
        <v>0.71399999999999997</v>
      </c>
      <c r="L67" s="5">
        <v>0.754</v>
      </c>
      <c r="M67" s="5">
        <v>0.80400000000000005</v>
      </c>
      <c r="N67" s="5">
        <v>0.82399999999999995</v>
      </c>
      <c r="O67" s="5">
        <v>0.83099999999999996</v>
      </c>
      <c r="P67" s="5">
        <v>0.85899999999999999</v>
      </c>
      <c r="Q67" s="5">
        <v>0.90500000000000003</v>
      </c>
      <c r="R67" s="5">
        <v>0.90500000000000003</v>
      </c>
      <c r="S67" s="5">
        <v>0.93400000000000005</v>
      </c>
      <c r="T67" s="5">
        <v>0.94699999999999995</v>
      </c>
      <c r="U67" s="5">
        <v>0.96899999999999997</v>
      </c>
      <c r="V67" s="5">
        <v>0.98399999999999999</v>
      </c>
      <c r="W67" s="5">
        <v>0.97099999999999997</v>
      </c>
      <c r="X67" s="5">
        <v>0.99299999999999999</v>
      </c>
      <c r="Y67" s="5">
        <v>0.998</v>
      </c>
      <c r="Z67" s="5">
        <v>1.002</v>
      </c>
      <c r="AA67" s="5">
        <v>0.99399999999999999</v>
      </c>
      <c r="AB67" s="5">
        <v>1.0069999999999999</v>
      </c>
      <c r="AC67" s="5">
        <v>0.98399999999999999</v>
      </c>
      <c r="AD67" s="5">
        <v>29.353000000000002</v>
      </c>
    </row>
    <row r="68" spans="1:30" x14ac:dyDescent="0.3">
      <c r="A68" s="12"/>
      <c r="B68" s="12"/>
      <c r="C68" s="12"/>
      <c r="D68" s="1">
        <v>65</v>
      </c>
      <c r="E68" s="5">
        <v>0.30099999999999999</v>
      </c>
      <c r="F68" s="5">
        <v>0.39800000000000002</v>
      </c>
      <c r="G68" s="5">
        <v>0.47299999999999998</v>
      </c>
      <c r="H68" s="5">
        <v>0.54700000000000004</v>
      </c>
      <c r="I68" s="5">
        <v>0.61799999999999999</v>
      </c>
      <c r="J68" s="5">
        <v>0.67300000000000004</v>
      </c>
      <c r="K68" s="5">
        <v>0.70799999999999996</v>
      </c>
      <c r="L68" s="5">
        <v>0.74199999999999999</v>
      </c>
      <c r="M68" s="5">
        <v>0.77200000000000002</v>
      </c>
      <c r="N68" s="5">
        <v>0.79600000000000004</v>
      </c>
      <c r="O68" s="5">
        <v>0.81699999999999995</v>
      </c>
      <c r="P68" s="5">
        <v>0.83699999999999997</v>
      </c>
      <c r="Q68" s="5">
        <v>0.86799999999999999</v>
      </c>
      <c r="R68" s="5">
        <v>0.89100000000000001</v>
      </c>
      <c r="S68" s="5">
        <v>0.91</v>
      </c>
      <c r="T68" s="5">
        <v>0.93400000000000005</v>
      </c>
      <c r="U68" s="5">
        <v>0.96199999999999997</v>
      </c>
      <c r="V68" s="5">
        <v>0.96699999999999997</v>
      </c>
      <c r="W68" s="5">
        <v>0.95599999999999996</v>
      </c>
      <c r="X68" s="5">
        <v>0.96499999999999997</v>
      </c>
      <c r="Y68" s="5">
        <v>0.99399999999999999</v>
      </c>
      <c r="Z68" s="5">
        <v>0.997</v>
      </c>
      <c r="AA68" s="5">
        <v>1.012</v>
      </c>
      <c r="AB68" s="5">
        <v>1.024</v>
      </c>
      <c r="AC68" s="5">
        <v>1.0029999999999999</v>
      </c>
      <c r="AD68" s="5">
        <v>29.486000000000001</v>
      </c>
    </row>
    <row r="69" spans="1:30" x14ac:dyDescent="0.3">
      <c r="A69" s="12"/>
      <c r="B69" s="12"/>
      <c r="C69" s="12"/>
      <c r="D69" s="1">
        <v>66</v>
      </c>
      <c r="E69" s="5">
        <v>0.28299999999999997</v>
      </c>
      <c r="F69" s="5">
        <v>0.41899999999999998</v>
      </c>
      <c r="G69" s="5">
        <v>0.48199999999999998</v>
      </c>
      <c r="H69" s="5">
        <v>0.55500000000000005</v>
      </c>
      <c r="I69" s="5">
        <v>0.61199999999999999</v>
      </c>
      <c r="J69" s="5">
        <v>0.67</v>
      </c>
      <c r="K69" s="5">
        <v>0.69799999999999995</v>
      </c>
      <c r="L69" s="5">
        <v>0.74</v>
      </c>
      <c r="M69" s="5">
        <v>0.77</v>
      </c>
      <c r="N69" s="5">
        <v>0.79400000000000004</v>
      </c>
      <c r="O69" s="5">
        <v>0.83899999999999997</v>
      </c>
      <c r="P69" s="5">
        <v>0.83799999999999997</v>
      </c>
      <c r="Q69" s="5">
        <v>0.86399999999999999</v>
      </c>
      <c r="R69" s="5">
        <v>0.89300000000000002</v>
      </c>
      <c r="S69" s="5">
        <v>0.92200000000000004</v>
      </c>
      <c r="T69" s="5">
        <v>0.94599999999999995</v>
      </c>
      <c r="U69" s="5">
        <v>0.97</v>
      </c>
      <c r="V69" s="5">
        <v>0.95799999999999996</v>
      </c>
      <c r="W69" s="5">
        <v>0.98</v>
      </c>
      <c r="X69" s="5">
        <v>0.99299999999999999</v>
      </c>
      <c r="Y69" s="5">
        <v>0.96199999999999997</v>
      </c>
      <c r="Z69" s="5">
        <v>0.95799999999999996</v>
      </c>
      <c r="AA69" s="5">
        <v>0.99199999999999999</v>
      </c>
      <c r="AB69" s="5">
        <v>1.014</v>
      </c>
      <c r="AC69" s="5">
        <v>1.006</v>
      </c>
      <c r="AD69" s="5">
        <v>29.451000000000001</v>
      </c>
    </row>
    <row r="70" spans="1:30" x14ac:dyDescent="0.3">
      <c r="A70" s="12"/>
      <c r="B70" s="12"/>
      <c r="C70" s="12"/>
      <c r="D70" s="1">
        <v>67</v>
      </c>
      <c r="E70" s="5">
        <v>0.28599999999999998</v>
      </c>
      <c r="F70" s="5">
        <v>0.373</v>
      </c>
      <c r="G70" s="5">
        <v>0.45600000000000002</v>
      </c>
      <c r="H70" s="5">
        <v>0.53900000000000003</v>
      </c>
      <c r="I70" s="5">
        <v>0.60299999999999998</v>
      </c>
      <c r="J70" s="5">
        <v>0.65300000000000002</v>
      </c>
      <c r="K70" s="5">
        <v>0.69599999999999995</v>
      </c>
      <c r="L70" s="5">
        <v>0.73799999999999999</v>
      </c>
      <c r="M70" s="5">
        <v>0.77200000000000002</v>
      </c>
      <c r="N70" s="5">
        <v>0.80300000000000005</v>
      </c>
      <c r="O70" s="5">
        <v>0.82499999999999996</v>
      </c>
      <c r="P70" s="5">
        <v>0.85</v>
      </c>
      <c r="Q70" s="5">
        <v>0.88100000000000001</v>
      </c>
      <c r="R70" s="5">
        <v>0.89600000000000002</v>
      </c>
      <c r="S70" s="5">
        <v>0.93100000000000005</v>
      </c>
      <c r="T70" s="5">
        <v>0.95199999999999996</v>
      </c>
      <c r="U70" s="5">
        <v>0.96399999999999997</v>
      </c>
      <c r="V70" s="5">
        <v>0.97499999999999998</v>
      </c>
      <c r="W70" s="5">
        <v>0.96399999999999997</v>
      </c>
      <c r="X70" s="5">
        <v>0.96699999999999997</v>
      </c>
      <c r="Y70" s="5">
        <v>0.96599999999999997</v>
      </c>
      <c r="Z70" s="5">
        <v>0.97799999999999998</v>
      </c>
      <c r="AA70" s="5">
        <v>0.996</v>
      </c>
      <c r="AB70" s="5">
        <v>0.99099999999999999</v>
      </c>
      <c r="AC70" s="5">
        <v>0.98099999999999998</v>
      </c>
      <c r="AD70" s="5">
        <v>29.282</v>
      </c>
    </row>
    <row r="71" spans="1:30" x14ac:dyDescent="0.3">
      <c r="A71" s="12"/>
      <c r="B71" s="12"/>
      <c r="C71" s="12"/>
      <c r="D71" s="1">
        <v>68</v>
      </c>
      <c r="E71" s="5">
        <v>0.28699999999999998</v>
      </c>
      <c r="F71" s="5">
        <v>0.36599999999999999</v>
      </c>
      <c r="G71" s="5">
        <v>0.45600000000000002</v>
      </c>
      <c r="H71" s="5">
        <v>0.53800000000000003</v>
      </c>
      <c r="I71" s="5">
        <v>0.61299999999999999</v>
      </c>
      <c r="J71" s="5">
        <v>0.66200000000000003</v>
      </c>
      <c r="K71" s="5">
        <v>0.71</v>
      </c>
      <c r="L71" s="5">
        <v>0.745</v>
      </c>
      <c r="M71" s="5">
        <v>0.79100000000000004</v>
      </c>
      <c r="N71" s="5">
        <v>0.81200000000000006</v>
      </c>
      <c r="O71" s="5">
        <v>0.84699999999999998</v>
      </c>
      <c r="P71" s="5">
        <v>0.86199999999999999</v>
      </c>
      <c r="Q71" s="5">
        <v>0.875</v>
      </c>
      <c r="R71" s="5">
        <v>0.90300000000000002</v>
      </c>
      <c r="S71" s="5">
        <v>0.92900000000000005</v>
      </c>
      <c r="T71" s="5">
        <v>0.94799999999999995</v>
      </c>
      <c r="U71" s="5">
        <v>0.96599999999999997</v>
      </c>
      <c r="V71" s="5">
        <v>0.95499999999999996</v>
      </c>
      <c r="W71" s="5">
        <v>0.95499999999999996</v>
      </c>
      <c r="X71" s="5">
        <v>0.98799999999999999</v>
      </c>
      <c r="Y71" s="5">
        <v>0.98299999999999998</v>
      </c>
      <c r="Z71" s="5">
        <v>0.99299999999999999</v>
      </c>
      <c r="AA71" s="5">
        <v>0.996</v>
      </c>
      <c r="AB71" s="5">
        <v>0.996</v>
      </c>
      <c r="AC71" s="5">
        <v>0.98799999999999999</v>
      </c>
      <c r="AD71" s="5">
        <v>29.536000000000001</v>
      </c>
    </row>
    <row r="72" spans="1:30" x14ac:dyDescent="0.3">
      <c r="D72" t="s">
        <v>36</v>
      </c>
      <c r="E72" s="3">
        <f t="shared" ref="E72:AD72" si="0">AVERAGE(E4:E71)</f>
        <v>0.29426470588235293</v>
      </c>
      <c r="F72" s="3">
        <f t="shared" si="0"/>
        <v>0.37094117647058822</v>
      </c>
      <c r="G72" s="3">
        <f t="shared" si="0"/>
        <v>0.45873529411764707</v>
      </c>
      <c r="H72" s="3">
        <f t="shared" si="0"/>
        <v>0.5394411764705882</v>
      </c>
      <c r="I72" s="3">
        <f t="shared" si="0"/>
        <v>0.60923529411764699</v>
      </c>
      <c r="J72" s="3">
        <f t="shared" si="0"/>
        <v>0.66058823529411759</v>
      </c>
      <c r="K72" s="3">
        <f t="shared" si="0"/>
        <v>0.70300000000000018</v>
      </c>
      <c r="L72" s="3">
        <f t="shared" si="0"/>
        <v>0.74157352941176446</v>
      </c>
      <c r="M72" s="3">
        <f t="shared" si="0"/>
        <v>0.7779264705882355</v>
      </c>
      <c r="N72" s="3">
        <f t="shared" si="0"/>
        <v>0.80807352941176447</v>
      </c>
      <c r="O72" s="3">
        <f t="shared" si="0"/>
        <v>0.82822058823529432</v>
      </c>
      <c r="P72" s="3">
        <f t="shared" si="0"/>
        <v>0.85057352941176478</v>
      </c>
      <c r="Q72" s="3">
        <f t="shared" si="0"/>
        <v>0.87523529411764711</v>
      </c>
      <c r="R72" s="3">
        <f t="shared" si="0"/>
        <v>0.89529411764705902</v>
      </c>
      <c r="S72" s="3">
        <f t="shared" si="0"/>
        <v>0.91622058823529384</v>
      </c>
      <c r="T72" s="3">
        <f t="shared" si="0"/>
        <v>0.93924999999999992</v>
      </c>
      <c r="U72" s="3">
        <f t="shared" si="0"/>
        <v>0.96300000000000008</v>
      </c>
      <c r="V72" s="3">
        <f t="shared" si="0"/>
        <v>0.97266176470588239</v>
      </c>
      <c r="W72" s="3">
        <f t="shared" si="0"/>
        <v>0.97508823529411714</v>
      </c>
      <c r="X72" s="3">
        <f t="shared" si="0"/>
        <v>0.98035294117647065</v>
      </c>
      <c r="Y72" s="3">
        <f t="shared" si="0"/>
        <v>0.98494117647058799</v>
      </c>
      <c r="Z72" s="3">
        <f t="shared" si="0"/>
        <v>0.99191176470588216</v>
      </c>
      <c r="AA72" s="3">
        <f t="shared" si="0"/>
        <v>0.99677941176470553</v>
      </c>
      <c r="AB72" s="3">
        <f t="shared" si="0"/>
        <v>1.0026911764705881</v>
      </c>
      <c r="AC72" s="3">
        <f t="shared" si="0"/>
        <v>1.0010588235294113</v>
      </c>
      <c r="AD72" s="3">
        <f t="shared" si="0"/>
        <v>29.356999999999992</v>
      </c>
    </row>
    <row r="73" spans="1:30" x14ac:dyDescent="0.3">
      <c r="D73" t="s">
        <v>39</v>
      </c>
      <c r="E73" s="3">
        <f>F72-E72</f>
        <v>7.667647058823529E-2</v>
      </c>
      <c r="F73" s="3">
        <f t="shared" ref="F73:AB73" si="1">G72-F72</f>
        <v>8.7794117647058856E-2</v>
      </c>
      <c r="G73" s="3">
        <f t="shared" si="1"/>
        <v>8.0705882352941127E-2</v>
      </c>
      <c r="H73" s="3">
        <f t="shared" si="1"/>
        <v>6.9794117647058784E-2</v>
      </c>
      <c r="I73" s="3">
        <f t="shared" si="1"/>
        <v>5.1352941176470601E-2</v>
      </c>
      <c r="J73" s="3">
        <f t="shared" si="1"/>
        <v>4.2411764705882593E-2</v>
      </c>
      <c r="K73" s="3">
        <f t="shared" si="1"/>
        <v>3.8573529411764285E-2</v>
      </c>
      <c r="L73" s="3">
        <f t="shared" si="1"/>
        <v>3.6352941176471032E-2</v>
      </c>
      <c r="M73" s="3">
        <f t="shared" si="1"/>
        <v>3.0147058823528972E-2</v>
      </c>
      <c r="N73" s="3">
        <f t="shared" si="1"/>
        <v>2.0147058823529851E-2</v>
      </c>
      <c r="O73" s="3">
        <f t="shared" si="1"/>
        <v>2.2352941176470464E-2</v>
      </c>
      <c r="P73" s="3">
        <f t="shared" si="1"/>
        <v>2.4661764705882327E-2</v>
      </c>
      <c r="Q73" s="3">
        <f t="shared" si="1"/>
        <v>2.0058823529411907E-2</v>
      </c>
      <c r="R73" s="3">
        <f t="shared" si="1"/>
        <v>2.0926470588234825E-2</v>
      </c>
      <c r="S73" s="3">
        <f t="shared" si="1"/>
        <v>2.3029411764706076E-2</v>
      </c>
      <c r="T73" s="3">
        <f t="shared" si="1"/>
        <v>2.375000000000016E-2</v>
      </c>
      <c r="U73" s="3">
        <f t="shared" si="1"/>
        <v>9.6617647058823142E-3</v>
      </c>
      <c r="V73" s="3">
        <f t="shared" si="1"/>
        <v>2.4264705882347526E-3</v>
      </c>
      <c r="W73" s="3">
        <f t="shared" si="1"/>
        <v>5.2647058823535042E-3</v>
      </c>
      <c r="X73" s="3">
        <f t="shared" si="1"/>
        <v>4.5882352941173377E-3</v>
      </c>
      <c r="Y73" s="3">
        <f t="shared" si="1"/>
        <v>6.9705882352941728E-3</v>
      </c>
      <c r="Z73" s="3">
        <f t="shared" si="1"/>
        <v>4.8676470588233656E-3</v>
      </c>
      <c r="AA73" s="3">
        <f t="shared" si="1"/>
        <v>5.9117647058826162E-3</v>
      </c>
      <c r="AB73" s="3">
        <f t="shared" si="1"/>
        <v>-1.6323529411768067E-3</v>
      </c>
      <c r="AC73" s="3"/>
      <c r="AD73" s="3"/>
    </row>
    <row r="74" spans="1:30" x14ac:dyDescent="0.3">
      <c r="D74" t="s">
        <v>40</v>
      </c>
      <c r="E74" s="3">
        <f t="shared" ref="E74:AD74" si="2">MIN(E4:E71)</f>
        <v>0.27</v>
      </c>
      <c r="F74" s="3">
        <f t="shared" si="2"/>
        <v>0.35099999999999998</v>
      </c>
      <c r="G74" s="3">
        <f t="shared" si="2"/>
        <v>0.435</v>
      </c>
      <c r="H74" s="3">
        <f t="shared" si="2"/>
        <v>0.51400000000000001</v>
      </c>
      <c r="I74" s="3">
        <f t="shared" si="2"/>
        <v>0.58799999999999997</v>
      </c>
      <c r="J74" s="3">
        <f t="shared" si="2"/>
        <v>0.64100000000000001</v>
      </c>
      <c r="K74" s="3">
        <f t="shared" si="2"/>
        <v>0.68200000000000005</v>
      </c>
      <c r="L74" s="3">
        <f t="shared" si="2"/>
        <v>0.72</v>
      </c>
      <c r="M74" s="3">
        <f t="shared" si="2"/>
        <v>0.75600000000000001</v>
      </c>
      <c r="N74" s="3">
        <f t="shared" si="2"/>
        <v>0.77700000000000002</v>
      </c>
      <c r="O74" s="3">
        <f t="shared" si="2"/>
        <v>0.79100000000000004</v>
      </c>
      <c r="P74" s="3">
        <f t="shared" si="2"/>
        <v>0.82499999999999996</v>
      </c>
      <c r="Q74" s="3">
        <f t="shared" si="2"/>
        <v>0.85199999999999998</v>
      </c>
      <c r="R74" s="3">
        <f t="shared" si="2"/>
        <v>0.86799999999999999</v>
      </c>
      <c r="S74" s="3">
        <f t="shared" si="2"/>
        <v>0.88900000000000001</v>
      </c>
      <c r="T74" s="3">
        <f t="shared" si="2"/>
        <v>0.91600000000000004</v>
      </c>
      <c r="U74" s="3">
        <f t="shared" si="2"/>
        <v>0.94099999999999995</v>
      </c>
      <c r="V74" s="3">
        <f t="shared" si="2"/>
        <v>0.94299999999999995</v>
      </c>
      <c r="W74" s="3">
        <f t="shared" si="2"/>
        <v>0.94399999999999995</v>
      </c>
      <c r="X74" s="3">
        <f t="shared" si="2"/>
        <v>0.94</v>
      </c>
      <c r="Y74" s="3">
        <f t="shared" si="2"/>
        <v>0.94099999999999995</v>
      </c>
      <c r="Z74" s="3">
        <f t="shared" si="2"/>
        <v>0.94899999999999995</v>
      </c>
      <c r="AA74" s="3">
        <f t="shared" si="2"/>
        <v>0.94899999999999995</v>
      </c>
      <c r="AB74" s="3">
        <f t="shared" si="2"/>
        <v>0.95</v>
      </c>
      <c r="AC74" s="3">
        <f t="shared" si="2"/>
        <v>0.96199999999999997</v>
      </c>
      <c r="AD74" s="3">
        <f t="shared" si="2"/>
        <v>29.077999999999999</v>
      </c>
    </row>
    <row r="75" spans="1:30" x14ac:dyDescent="0.3">
      <c r="D75" t="s">
        <v>41</v>
      </c>
      <c r="E75" s="3">
        <f t="shared" ref="E75:AD75" si="3">MAX(E4:E71)</f>
        <v>0.38100000000000001</v>
      </c>
      <c r="F75" s="3">
        <f t="shared" si="3"/>
        <v>0.41899999999999998</v>
      </c>
      <c r="G75" s="3">
        <f t="shared" si="3"/>
        <v>0.49399999999999999</v>
      </c>
      <c r="H75" s="3">
        <f t="shared" si="3"/>
        <v>0.55900000000000005</v>
      </c>
      <c r="I75" s="3">
        <f t="shared" si="3"/>
        <v>0.64500000000000002</v>
      </c>
      <c r="J75" s="3">
        <f t="shared" si="3"/>
        <v>0.68300000000000005</v>
      </c>
      <c r="K75" s="3">
        <f t="shared" si="3"/>
        <v>0.72599999999999998</v>
      </c>
      <c r="L75" s="3">
        <f t="shared" si="3"/>
        <v>0.75700000000000001</v>
      </c>
      <c r="M75" s="3">
        <f t="shared" si="3"/>
        <v>0.80800000000000005</v>
      </c>
      <c r="N75" s="3">
        <f t="shared" si="3"/>
        <v>0.86199999999999999</v>
      </c>
      <c r="O75" s="3">
        <f t="shared" si="3"/>
        <v>0.875</v>
      </c>
      <c r="P75" s="3">
        <f t="shared" si="3"/>
        <v>0.89700000000000002</v>
      </c>
      <c r="Q75" s="3">
        <f t="shared" si="3"/>
        <v>0.90500000000000003</v>
      </c>
      <c r="R75" s="3">
        <f t="shared" si="3"/>
        <v>0.91800000000000004</v>
      </c>
      <c r="S75" s="3">
        <f t="shared" si="3"/>
        <v>0.94199999999999995</v>
      </c>
      <c r="T75" s="3">
        <f t="shared" si="3"/>
        <v>0.96799999999999997</v>
      </c>
      <c r="U75" s="3">
        <f t="shared" si="3"/>
        <v>0.98699999999999999</v>
      </c>
      <c r="V75" s="3">
        <f t="shared" si="3"/>
        <v>1.002</v>
      </c>
      <c r="W75" s="3">
        <f t="shared" si="3"/>
        <v>1.0149999999999999</v>
      </c>
      <c r="X75" s="3">
        <f t="shared" si="3"/>
        <v>1.016</v>
      </c>
      <c r="Y75" s="3">
        <f t="shared" si="3"/>
        <v>1.042</v>
      </c>
      <c r="Z75" s="3">
        <f t="shared" si="3"/>
        <v>1.028</v>
      </c>
      <c r="AA75" s="3">
        <f t="shared" si="3"/>
        <v>1.036</v>
      </c>
      <c r="AB75" s="3">
        <f t="shared" si="3"/>
        <v>1.129</v>
      </c>
      <c r="AC75" s="3">
        <f t="shared" si="3"/>
        <v>1.0409999999999999</v>
      </c>
      <c r="AD75" s="3">
        <f t="shared" si="3"/>
        <v>29.696000000000002</v>
      </c>
    </row>
    <row r="76" spans="1:30" x14ac:dyDescent="0.3">
      <c r="D76" t="s">
        <v>37</v>
      </c>
      <c r="E76" s="3">
        <f t="shared" ref="E76:AD76" si="4">AVERAGE(E4:E71)-(2*_xlfn.STDEV.S(E4:E71))</f>
        <v>0.25632426922201423</v>
      </c>
      <c r="F76" s="3">
        <f t="shared" si="4"/>
        <v>0.34992552529388099</v>
      </c>
      <c r="G76" s="3">
        <f t="shared" si="4"/>
        <v>0.43913749452426043</v>
      </c>
      <c r="H76" s="3">
        <f t="shared" si="4"/>
        <v>0.52115527993004407</v>
      </c>
      <c r="I76" s="3">
        <f t="shared" si="4"/>
        <v>0.5900640543176312</v>
      </c>
      <c r="J76" s="3">
        <f t="shared" si="4"/>
        <v>0.64358170347041044</v>
      </c>
      <c r="K76" s="3">
        <f t="shared" si="4"/>
        <v>0.68507478220952911</v>
      </c>
      <c r="L76" s="3">
        <f t="shared" si="4"/>
        <v>0.72635250633645265</v>
      </c>
      <c r="M76" s="3">
        <f t="shared" si="4"/>
        <v>0.75493181533261478</v>
      </c>
      <c r="N76" s="3">
        <f t="shared" si="4"/>
        <v>0.77405278740423689</v>
      </c>
      <c r="O76" s="3">
        <f t="shared" si="4"/>
        <v>0.79966983094448252</v>
      </c>
      <c r="P76" s="3">
        <f t="shared" si="4"/>
        <v>0.82324181107864003</v>
      </c>
      <c r="Q76" s="3">
        <f t="shared" si="4"/>
        <v>0.8527372208414451</v>
      </c>
      <c r="R76" s="3">
        <f t="shared" si="4"/>
        <v>0.87619482071999932</v>
      </c>
      <c r="S76" s="3">
        <f t="shared" si="4"/>
        <v>0.89522493669337011</v>
      </c>
      <c r="T76" s="3">
        <f t="shared" si="4"/>
        <v>0.91928473164972457</v>
      </c>
      <c r="U76" s="3">
        <f t="shared" si="4"/>
        <v>0.9435355279639599</v>
      </c>
      <c r="V76" s="3">
        <f t="shared" si="4"/>
        <v>0.94502529670657509</v>
      </c>
      <c r="W76" s="3">
        <f t="shared" si="4"/>
        <v>0.94785845507758004</v>
      </c>
      <c r="X76" s="3">
        <f t="shared" si="4"/>
        <v>0.95095954216955103</v>
      </c>
      <c r="Y76" s="3">
        <f t="shared" si="4"/>
        <v>0.94911925813576115</v>
      </c>
      <c r="Z76" s="3">
        <f t="shared" si="4"/>
        <v>0.95760370413415719</v>
      </c>
      <c r="AA76" s="3">
        <f t="shared" si="4"/>
        <v>0.96389999282762528</v>
      </c>
      <c r="AB76" s="3">
        <f t="shared" si="4"/>
        <v>0.95364260796963207</v>
      </c>
      <c r="AC76" s="3">
        <f t="shared" si="4"/>
        <v>0.95975198863122035</v>
      </c>
      <c r="AD76" s="3">
        <f t="shared" si="4"/>
        <v>29.079284801742347</v>
      </c>
    </row>
    <row r="77" spans="1:30" x14ac:dyDescent="0.3">
      <c r="D77" t="s">
        <v>38</v>
      </c>
      <c r="E77" s="3">
        <f t="shared" ref="E77:AD77" si="5">AVERAGE(E4:E71)+(2*_xlfn.STDEV.S(E4:E71))</f>
        <v>0.33220514254269162</v>
      </c>
      <c r="F77" s="3">
        <f t="shared" si="5"/>
        <v>0.39195682764729545</v>
      </c>
      <c r="G77" s="3">
        <f t="shared" si="5"/>
        <v>0.47833309371103372</v>
      </c>
      <c r="H77" s="3">
        <f t="shared" si="5"/>
        <v>0.55772707301113233</v>
      </c>
      <c r="I77" s="3">
        <f t="shared" si="5"/>
        <v>0.62840653391766277</v>
      </c>
      <c r="J77" s="3">
        <f t="shared" si="5"/>
        <v>0.67759476711782474</v>
      </c>
      <c r="K77" s="3">
        <f t="shared" si="5"/>
        <v>0.72092521779047125</v>
      </c>
      <c r="L77" s="3">
        <f t="shared" si="5"/>
        <v>0.75679455248707628</v>
      </c>
      <c r="M77" s="3">
        <f t="shared" si="5"/>
        <v>0.80092112584385622</v>
      </c>
      <c r="N77" s="3">
        <f t="shared" si="5"/>
        <v>0.84209427141929205</v>
      </c>
      <c r="O77" s="3">
        <f t="shared" si="5"/>
        <v>0.85677134552610612</v>
      </c>
      <c r="P77" s="3">
        <f t="shared" si="5"/>
        <v>0.87790524774488954</v>
      </c>
      <c r="Q77" s="3">
        <f t="shared" si="5"/>
        <v>0.89773336739384912</v>
      </c>
      <c r="R77" s="3">
        <f t="shared" si="5"/>
        <v>0.91439341457411871</v>
      </c>
      <c r="S77" s="3">
        <f t="shared" si="5"/>
        <v>0.93721623977721757</v>
      </c>
      <c r="T77" s="3">
        <f t="shared" si="5"/>
        <v>0.95921526835027526</v>
      </c>
      <c r="U77" s="3">
        <f t="shared" si="5"/>
        <v>0.98246447203604026</v>
      </c>
      <c r="V77" s="3">
        <f t="shared" si="5"/>
        <v>1.0002982327051897</v>
      </c>
      <c r="W77" s="3">
        <f t="shared" si="5"/>
        <v>1.0023180155106541</v>
      </c>
      <c r="X77" s="3">
        <f t="shared" si="5"/>
        <v>1.0097463401833902</v>
      </c>
      <c r="Y77" s="3">
        <f t="shared" si="5"/>
        <v>1.0207630948054149</v>
      </c>
      <c r="Z77" s="3">
        <f t="shared" si="5"/>
        <v>1.0262198252776071</v>
      </c>
      <c r="AA77" s="3">
        <f t="shared" si="5"/>
        <v>1.0296588307017858</v>
      </c>
      <c r="AB77" s="3">
        <f t="shared" si="5"/>
        <v>1.0517397449715442</v>
      </c>
      <c r="AC77" s="3">
        <f t="shared" si="5"/>
        <v>1.0423656584276022</v>
      </c>
      <c r="AD77" s="3">
        <f t="shared" si="5"/>
        <v>29.634715198257638</v>
      </c>
    </row>
    <row r="78" spans="1:30" x14ac:dyDescent="0.3">
      <c r="D78" t="s">
        <v>43</v>
      </c>
      <c r="E78">
        <f t="shared" ref="E78:AD78" si="6">3*_xlfn.STDEV.S(E4:E71)</f>
        <v>5.6910654990508062E-2</v>
      </c>
      <c r="F78">
        <f t="shared" si="6"/>
        <v>3.1523476765060864E-2</v>
      </c>
      <c r="G78">
        <f t="shared" si="6"/>
        <v>2.9396699390079967E-2</v>
      </c>
      <c r="H78">
        <f t="shared" si="6"/>
        <v>2.7428844810816227E-2</v>
      </c>
      <c r="I78">
        <f t="shared" si="6"/>
        <v>2.8756859700023743E-2</v>
      </c>
      <c r="J78">
        <f t="shared" si="6"/>
        <v>2.5509797735560735E-2</v>
      </c>
      <c r="K78">
        <f t="shared" si="6"/>
        <v>2.6887826685706613E-2</v>
      </c>
      <c r="L78">
        <f t="shared" si="6"/>
        <v>2.283153461296774E-2</v>
      </c>
      <c r="M78">
        <f t="shared" si="6"/>
        <v>3.4491982883431145E-2</v>
      </c>
      <c r="N78">
        <f t="shared" si="6"/>
        <v>5.1031113011291394E-2</v>
      </c>
      <c r="O78">
        <f t="shared" si="6"/>
        <v>4.2826135936217619E-2</v>
      </c>
      <c r="P78">
        <f t="shared" si="6"/>
        <v>4.0997577499687063E-2</v>
      </c>
      <c r="Q78">
        <f t="shared" si="6"/>
        <v>3.3747109914302943E-2</v>
      </c>
      <c r="R78">
        <f t="shared" si="6"/>
        <v>2.8648945390589473E-2</v>
      </c>
      <c r="S78">
        <f t="shared" si="6"/>
        <v>3.1493477312885647E-2</v>
      </c>
      <c r="T78">
        <f t="shared" si="6"/>
        <v>2.9947902525412948E-2</v>
      </c>
      <c r="U78">
        <f t="shared" si="6"/>
        <v>2.9196708054060334E-2</v>
      </c>
      <c r="V78">
        <f t="shared" si="6"/>
        <v>4.1454701998960904E-2</v>
      </c>
      <c r="W78">
        <f t="shared" si="6"/>
        <v>4.0844670324805599E-2</v>
      </c>
      <c r="X78">
        <f t="shared" si="6"/>
        <v>4.4090098510379427E-2</v>
      </c>
      <c r="Y78">
        <f t="shared" si="6"/>
        <v>5.3732877502240331E-2</v>
      </c>
      <c r="Z78">
        <f t="shared" si="6"/>
        <v>5.1462090857587489E-2</v>
      </c>
      <c r="AA78">
        <f t="shared" si="6"/>
        <v>4.9319128405620444E-2</v>
      </c>
      <c r="AB78">
        <f t="shared" si="6"/>
        <v>7.3572852751434048E-2</v>
      </c>
      <c r="AC78">
        <f t="shared" si="6"/>
        <v>6.196025234728645E-2</v>
      </c>
      <c r="AD78">
        <f t="shared" si="6"/>
        <v>0.41657279738646924</v>
      </c>
    </row>
    <row r="79" spans="1:30" x14ac:dyDescent="0.3">
      <c r="D79" t="s">
        <v>44</v>
      </c>
      <c r="E79">
        <f t="shared" ref="E79:AD79" si="7">(_xlfn.PERCENTILE.INC(E4:E71,0.95)-_xlfn.PERCENTILE.INC(E4:E71,0.05))/2</f>
        <v>2.7100000000000013E-2</v>
      </c>
      <c r="F79">
        <f t="shared" si="7"/>
        <v>1.5300000000000036E-2</v>
      </c>
      <c r="G79">
        <f t="shared" si="7"/>
        <v>1.5300000000000008E-2</v>
      </c>
      <c r="H79">
        <f t="shared" si="7"/>
        <v>1.5800000000000036E-2</v>
      </c>
      <c r="I79">
        <f t="shared" si="7"/>
        <v>1.2825000000000031E-2</v>
      </c>
      <c r="J79">
        <f t="shared" si="7"/>
        <v>1.3475000000000015E-2</v>
      </c>
      <c r="K79">
        <f t="shared" si="7"/>
        <v>1.2149999999999994E-2</v>
      </c>
      <c r="L79">
        <f t="shared" si="7"/>
        <v>1.1325000000000029E-2</v>
      </c>
      <c r="M79">
        <f t="shared" si="7"/>
        <v>1.8500000000000016E-2</v>
      </c>
      <c r="N79">
        <f t="shared" si="7"/>
        <v>2.5125000000000008E-2</v>
      </c>
      <c r="O79">
        <f t="shared" si="7"/>
        <v>1.915E-2</v>
      </c>
      <c r="P79">
        <f t="shared" si="7"/>
        <v>1.915E-2</v>
      </c>
      <c r="Q79">
        <f t="shared" si="7"/>
        <v>1.7475000000000018E-2</v>
      </c>
      <c r="R79">
        <f t="shared" si="7"/>
        <v>1.6500000000000015E-2</v>
      </c>
      <c r="S79">
        <f t="shared" si="7"/>
        <v>1.6650000000000054E-2</v>
      </c>
      <c r="T79">
        <f t="shared" si="7"/>
        <v>1.4799999999999924E-2</v>
      </c>
      <c r="U79">
        <f t="shared" si="7"/>
        <v>1.5475000000000017E-2</v>
      </c>
      <c r="V79">
        <f t="shared" si="7"/>
        <v>2.2450000000000081E-2</v>
      </c>
      <c r="W79">
        <f t="shared" si="7"/>
        <v>2.1325000000000038E-2</v>
      </c>
      <c r="X79">
        <f t="shared" si="7"/>
        <v>2.3475000000000024E-2</v>
      </c>
      <c r="Y79">
        <f t="shared" si="7"/>
        <v>2.6650000000000007E-2</v>
      </c>
      <c r="Z79">
        <f t="shared" si="7"/>
        <v>2.6474999999999971E-2</v>
      </c>
      <c r="AA79">
        <f t="shared" si="7"/>
        <v>2.5650000000000062E-2</v>
      </c>
      <c r="AB79">
        <f t="shared" si="7"/>
        <v>3.0249999999999944E-2</v>
      </c>
      <c r="AC79">
        <f t="shared" si="7"/>
        <v>3.1325000000000047E-2</v>
      </c>
      <c r="AD79">
        <f t="shared" si="7"/>
        <v>0.22007499999999958</v>
      </c>
    </row>
    <row r="80" spans="1:30" x14ac:dyDescent="0.3">
      <c r="D80" t="s">
        <v>42</v>
      </c>
      <c r="E80">
        <f t="shared" ref="E80:AD80" si="8">MAX(3*_xlfn.STDEV.S(E4:E71),(_xlfn.PERCENTILE.INC(E4:E71,0.95)-_xlfn.PERCENTILE.INC(E4:E71,0.05))/2
)</f>
        <v>5.6910654990508062E-2</v>
      </c>
      <c r="F80">
        <f t="shared" si="8"/>
        <v>3.1523476765060864E-2</v>
      </c>
      <c r="G80">
        <f t="shared" si="8"/>
        <v>2.9396699390079967E-2</v>
      </c>
      <c r="H80">
        <f t="shared" si="8"/>
        <v>2.7428844810816227E-2</v>
      </c>
      <c r="I80">
        <f t="shared" si="8"/>
        <v>2.8756859700023743E-2</v>
      </c>
      <c r="J80">
        <f t="shared" si="8"/>
        <v>2.5509797735560735E-2</v>
      </c>
      <c r="K80">
        <f t="shared" si="8"/>
        <v>2.6887826685706613E-2</v>
      </c>
      <c r="L80">
        <f t="shared" si="8"/>
        <v>2.283153461296774E-2</v>
      </c>
      <c r="M80">
        <f t="shared" si="8"/>
        <v>3.4491982883431145E-2</v>
      </c>
      <c r="N80">
        <f t="shared" si="8"/>
        <v>5.1031113011291394E-2</v>
      </c>
      <c r="O80">
        <f t="shared" si="8"/>
        <v>4.2826135936217619E-2</v>
      </c>
      <c r="P80">
        <f t="shared" si="8"/>
        <v>4.0997577499687063E-2</v>
      </c>
      <c r="Q80">
        <f t="shared" si="8"/>
        <v>3.3747109914302943E-2</v>
      </c>
      <c r="R80">
        <f t="shared" si="8"/>
        <v>2.8648945390589473E-2</v>
      </c>
      <c r="S80">
        <f t="shared" si="8"/>
        <v>3.1493477312885647E-2</v>
      </c>
      <c r="T80">
        <f t="shared" si="8"/>
        <v>2.9947902525412948E-2</v>
      </c>
      <c r="U80">
        <f t="shared" si="8"/>
        <v>2.9196708054060334E-2</v>
      </c>
      <c r="V80">
        <f t="shared" si="8"/>
        <v>4.1454701998960904E-2</v>
      </c>
      <c r="W80">
        <f t="shared" si="8"/>
        <v>4.0844670324805599E-2</v>
      </c>
      <c r="X80">
        <f t="shared" si="8"/>
        <v>4.4090098510379427E-2</v>
      </c>
      <c r="Y80">
        <f t="shared" si="8"/>
        <v>5.3732877502240331E-2</v>
      </c>
      <c r="Z80">
        <f t="shared" si="8"/>
        <v>5.1462090857587489E-2</v>
      </c>
      <c r="AA80">
        <f t="shared" si="8"/>
        <v>4.9319128405620444E-2</v>
      </c>
      <c r="AB80">
        <f t="shared" si="8"/>
        <v>7.3572852751434048E-2</v>
      </c>
      <c r="AC80">
        <f t="shared" si="8"/>
        <v>6.196025234728645E-2</v>
      </c>
      <c r="AD80">
        <f t="shared" si="8"/>
        <v>0.41657279738646924</v>
      </c>
    </row>
    <row r="81" spans="3:30" x14ac:dyDescent="0.3">
      <c r="C81" t="s">
        <v>36</v>
      </c>
      <c r="D81" t="s">
        <v>47</v>
      </c>
      <c r="E81" s="3">
        <f t="shared" ref="E81:AD81" si="9">ROUND(AVERAGE(E4:E71),3)</f>
        <v>0.29399999999999998</v>
      </c>
      <c r="F81" s="3">
        <f t="shared" si="9"/>
        <v>0.371</v>
      </c>
      <c r="G81" s="3">
        <f t="shared" si="9"/>
        <v>0.45900000000000002</v>
      </c>
      <c r="H81" s="3">
        <f t="shared" si="9"/>
        <v>0.53900000000000003</v>
      </c>
      <c r="I81" s="3">
        <f t="shared" si="9"/>
        <v>0.60899999999999999</v>
      </c>
      <c r="J81" s="3">
        <f t="shared" si="9"/>
        <v>0.66100000000000003</v>
      </c>
      <c r="K81" s="3">
        <f t="shared" si="9"/>
        <v>0.70299999999999996</v>
      </c>
      <c r="L81" s="3">
        <f t="shared" si="9"/>
        <v>0.74199999999999999</v>
      </c>
      <c r="M81" s="3">
        <f t="shared" si="9"/>
        <v>0.77800000000000002</v>
      </c>
      <c r="N81" s="3">
        <f t="shared" si="9"/>
        <v>0.80800000000000005</v>
      </c>
      <c r="O81" s="3">
        <f t="shared" si="9"/>
        <v>0.82799999999999996</v>
      </c>
      <c r="P81" s="3">
        <f t="shared" si="9"/>
        <v>0.85099999999999998</v>
      </c>
      <c r="Q81" s="3">
        <f t="shared" si="9"/>
        <v>0.875</v>
      </c>
      <c r="R81" s="3">
        <f t="shared" si="9"/>
        <v>0.89500000000000002</v>
      </c>
      <c r="S81" s="3">
        <f t="shared" si="9"/>
        <v>0.91600000000000004</v>
      </c>
      <c r="T81" s="3">
        <f t="shared" si="9"/>
        <v>0.93899999999999995</v>
      </c>
      <c r="U81" s="3">
        <f t="shared" si="9"/>
        <v>0.96299999999999997</v>
      </c>
      <c r="V81" s="3">
        <f t="shared" si="9"/>
        <v>0.97299999999999998</v>
      </c>
      <c r="W81" s="3">
        <f t="shared" si="9"/>
        <v>0.97499999999999998</v>
      </c>
      <c r="X81" s="3">
        <f t="shared" si="9"/>
        <v>0.98</v>
      </c>
      <c r="Y81" s="3">
        <f t="shared" si="9"/>
        <v>0.98499999999999999</v>
      </c>
      <c r="Z81" s="3">
        <f t="shared" si="9"/>
        <v>0.99199999999999999</v>
      </c>
      <c r="AA81" s="3">
        <f t="shared" si="9"/>
        <v>0.997</v>
      </c>
      <c r="AB81" s="3">
        <f t="shared" si="9"/>
        <v>1.0029999999999999</v>
      </c>
      <c r="AC81" s="3">
        <f t="shared" si="9"/>
        <v>1.0009999999999999</v>
      </c>
      <c r="AD81" s="3">
        <f t="shared" si="9"/>
        <v>29.356999999999999</v>
      </c>
    </row>
    <row r="82" spans="3:30" x14ac:dyDescent="0.3">
      <c r="C82" t="s">
        <v>45</v>
      </c>
      <c r="D82" t="s">
        <v>46</v>
      </c>
      <c r="E82" s="3">
        <f t="shared" ref="E82:AD82" si="10">ROUND(TRIMMEAN(E4:E71,0.1),3)</f>
        <v>0.29299999999999998</v>
      </c>
      <c r="F82" s="3">
        <f t="shared" si="10"/>
        <v>0.37</v>
      </c>
      <c r="G82" s="3">
        <f t="shared" si="10"/>
        <v>0.45800000000000002</v>
      </c>
      <c r="H82" s="3">
        <f t="shared" si="10"/>
        <v>0.54</v>
      </c>
      <c r="I82" s="3">
        <f t="shared" si="10"/>
        <v>0.60899999999999999</v>
      </c>
      <c r="J82" s="3">
        <f t="shared" si="10"/>
        <v>0.66100000000000003</v>
      </c>
      <c r="K82" s="3">
        <f t="shared" si="10"/>
        <v>0.70299999999999996</v>
      </c>
      <c r="L82" s="3">
        <f t="shared" si="10"/>
        <v>0.74199999999999999</v>
      </c>
      <c r="M82" s="3">
        <f t="shared" si="10"/>
        <v>0.77800000000000002</v>
      </c>
      <c r="N82" s="3">
        <f t="shared" si="10"/>
        <v>0.80700000000000005</v>
      </c>
      <c r="O82" s="3">
        <f t="shared" si="10"/>
        <v>0.82799999999999996</v>
      </c>
      <c r="P82" s="3">
        <f t="shared" si="10"/>
        <v>0.85</v>
      </c>
      <c r="Q82" s="3">
        <f t="shared" si="10"/>
        <v>0.875</v>
      </c>
      <c r="R82" s="3">
        <f t="shared" si="10"/>
        <v>0.89500000000000002</v>
      </c>
      <c r="S82" s="3">
        <f t="shared" si="10"/>
        <v>0.91600000000000004</v>
      </c>
      <c r="T82" s="3">
        <f t="shared" si="10"/>
        <v>0.93899999999999995</v>
      </c>
      <c r="U82" s="3">
        <f t="shared" si="10"/>
        <v>0.96299999999999997</v>
      </c>
      <c r="V82" s="3">
        <f t="shared" si="10"/>
        <v>0.97299999999999998</v>
      </c>
      <c r="W82" s="3">
        <f t="shared" si="10"/>
        <v>0.97499999999999998</v>
      </c>
      <c r="X82" s="3">
        <f t="shared" si="10"/>
        <v>0.98</v>
      </c>
      <c r="Y82" s="3">
        <f t="shared" si="10"/>
        <v>0.98499999999999999</v>
      </c>
      <c r="Z82" s="3">
        <f t="shared" si="10"/>
        <v>0.99199999999999999</v>
      </c>
      <c r="AA82" s="3">
        <f t="shared" si="10"/>
        <v>0.997</v>
      </c>
      <c r="AB82" s="3">
        <f t="shared" si="10"/>
        <v>1.0009999999999999</v>
      </c>
      <c r="AC82" s="3">
        <f t="shared" si="10"/>
        <v>1.0009999999999999</v>
      </c>
      <c r="AD82" s="3">
        <f t="shared" si="10"/>
        <v>29.355</v>
      </c>
    </row>
    <row r="87" spans="3:30" x14ac:dyDescent="0.3">
      <c r="E87" s="7"/>
      <c r="F87" s="7"/>
    </row>
    <row r="88" spans="3:30" x14ac:dyDescent="0.3">
      <c r="E88" s="8"/>
      <c r="F88" s="6"/>
    </row>
    <row r="89" spans="3:30" x14ac:dyDescent="0.3">
      <c r="E89" s="8"/>
      <c r="F89" s="6"/>
    </row>
    <row r="90" spans="3:30" x14ac:dyDescent="0.3">
      <c r="E90" s="8"/>
      <c r="F90" s="6"/>
    </row>
    <row r="91" spans="3:30" x14ac:dyDescent="0.3">
      <c r="E91" s="8"/>
      <c r="F91" s="6"/>
    </row>
    <row r="92" spans="3:30" x14ac:dyDescent="0.3">
      <c r="E92" s="8"/>
      <c r="F92" s="6"/>
    </row>
    <row r="93" spans="3:30" x14ac:dyDescent="0.3">
      <c r="E93" s="8"/>
      <c r="F93" s="6"/>
    </row>
    <row r="94" spans="3:30" x14ac:dyDescent="0.3">
      <c r="E94" s="8"/>
      <c r="F94" s="6"/>
    </row>
  </sheetData>
  <mergeCells count="6">
    <mergeCell ref="A2:B3"/>
    <mergeCell ref="C2:C3"/>
    <mergeCell ref="D2:D3"/>
    <mergeCell ref="E2:AD2"/>
    <mergeCell ref="A4:B71"/>
    <mergeCell ref="C4:C7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CCF8-D875-4ACB-B5B8-E768A856CD34}">
  <dimension ref="A1:AD87"/>
  <sheetViews>
    <sheetView zoomScale="85" zoomScaleNormal="85" workbookViewId="0">
      <pane xSplit="3" ySplit="3" topLeftCell="D53" activePane="bottomRight" state="frozen"/>
      <selection pane="topRight" activeCell="D1" sqref="D1"/>
      <selection pane="bottomLeft" activeCell="A4" sqref="A4"/>
      <selection pane="bottomRight" activeCell="D75" sqref="D75:F87"/>
    </sheetView>
  </sheetViews>
  <sheetFormatPr defaultRowHeight="16.5" x14ac:dyDescent="0.3"/>
  <cols>
    <col min="3" max="3" width="17.5" customWidth="1"/>
    <col min="4" max="4" width="11.375" bestFit="1" customWidth="1"/>
    <col min="5" max="5" width="9" customWidth="1"/>
    <col min="27" max="27" width="8.875" customWidth="1"/>
  </cols>
  <sheetData>
    <row r="1" spans="1:30" x14ac:dyDescent="0.3">
      <c r="X1" s="4"/>
    </row>
    <row r="2" spans="1:30" ht="20.100000000000001" customHeight="1" x14ac:dyDescent="0.3">
      <c r="A2" s="9" t="s">
        <v>1</v>
      </c>
      <c r="B2" s="10"/>
      <c r="C2" s="9" t="s">
        <v>3</v>
      </c>
      <c r="D2" s="11" t="s">
        <v>34</v>
      </c>
      <c r="E2" s="11" t="s">
        <v>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20.100000000000001" customHeight="1" x14ac:dyDescent="0.3">
      <c r="A3" s="9"/>
      <c r="B3" s="10"/>
      <c r="C3" s="9"/>
      <c r="D3" s="11"/>
      <c r="E3" s="2" t="s">
        <v>5</v>
      </c>
      <c r="F3" s="2" t="s">
        <v>35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7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0</v>
      </c>
    </row>
    <row r="4" spans="1:30" ht="16.5" customHeight="1" x14ac:dyDescent="0.3">
      <c r="A4" s="12" t="s">
        <v>32</v>
      </c>
      <c r="B4" s="12"/>
      <c r="C4" s="12" t="s">
        <v>4</v>
      </c>
      <c r="D4" s="1">
        <v>1</v>
      </c>
      <c r="E4" s="5">
        <v>0.35599999999999998</v>
      </c>
      <c r="F4" s="5">
        <v>0.46</v>
      </c>
      <c r="G4" s="5">
        <v>0.56899999999999995</v>
      </c>
      <c r="H4" s="5">
        <v>0.66700000000000004</v>
      </c>
      <c r="I4" s="5">
        <v>0.75900000000000001</v>
      </c>
      <c r="J4" s="5">
        <v>0.83299999999999996</v>
      </c>
      <c r="K4" s="5">
        <v>0.89100000000000001</v>
      </c>
      <c r="L4" s="5">
        <v>0.94899999999999995</v>
      </c>
      <c r="M4" s="5">
        <v>0.996</v>
      </c>
      <c r="N4" s="5">
        <v>1.0189999999999999</v>
      </c>
      <c r="O4" s="5">
        <v>1.056</v>
      </c>
      <c r="P4" s="5">
        <v>1.0740000000000001</v>
      </c>
      <c r="Q4" s="5">
        <v>1.095</v>
      </c>
      <c r="R4" s="5">
        <v>1.111</v>
      </c>
      <c r="S4" s="5">
        <v>1.1220000000000001</v>
      </c>
      <c r="T4" s="5">
        <v>1.1419999999999999</v>
      </c>
      <c r="U4" s="5">
        <v>1.1499999999999999</v>
      </c>
      <c r="V4" s="5">
        <v>1.159</v>
      </c>
      <c r="W4" s="5">
        <v>1.1519999999999999</v>
      </c>
      <c r="X4" s="5">
        <v>1.149</v>
      </c>
      <c r="Y4" s="5">
        <v>1.165</v>
      </c>
      <c r="Z4" s="5">
        <v>1.181</v>
      </c>
      <c r="AA4" s="5">
        <v>1.1719999999999999</v>
      </c>
      <c r="AB4" s="5">
        <v>1.2849999999999999</v>
      </c>
      <c r="AC4" s="5">
        <v>1.248</v>
      </c>
      <c r="AD4" s="5">
        <v>29.413</v>
      </c>
    </row>
    <row r="5" spans="1:30" ht="16.5" customHeight="1" x14ac:dyDescent="0.3">
      <c r="A5" s="12"/>
      <c r="B5" s="12"/>
      <c r="C5" s="12"/>
      <c r="D5" s="1">
        <v>2</v>
      </c>
      <c r="E5" s="5">
        <v>0.377</v>
      </c>
      <c r="F5" s="5">
        <v>0.46600000000000003</v>
      </c>
      <c r="G5" s="5">
        <v>0.56899999999999995</v>
      </c>
      <c r="H5" s="5">
        <v>0.67400000000000004</v>
      </c>
      <c r="I5" s="5">
        <v>0.75900000000000001</v>
      </c>
      <c r="J5" s="5">
        <v>0.83799999999999997</v>
      </c>
      <c r="K5" s="5">
        <v>0.89700000000000002</v>
      </c>
      <c r="L5" s="5">
        <v>0.95099999999999996</v>
      </c>
      <c r="M5" s="5">
        <v>0.998</v>
      </c>
      <c r="N5" s="5">
        <v>1.022</v>
      </c>
      <c r="O5" s="5">
        <v>1.0509999999999999</v>
      </c>
      <c r="P5" s="5">
        <v>1.0720000000000001</v>
      </c>
      <c r="Q5" s="5">
        <v>1.091</v>
      </c>
      <c r="R5" s="5">
        <v>1.1100000000000001</v>
      </c>
      <c r="S5" s="5">
        <v>1.119</v>
      </c>
      <c r="T5" s="5">
        <v>1.137</v>
      </c>
      <c r="U5" s="5">
        <v>1.1479999999999999</v>
      </c>
      <c r="V5" s="5">
        <v>1.157</v>
      </c>
      <c r="W5" s="5">
        <v>1.155</v>
      </c>
      <c r="X5" s="5">
        <v>1.1519999999999999</v>
      </c>
      <c r="Y5" s="5">
        <v>1.1539999999999999</v>
      </c>
      <c r="Z5" s="5">
        <v>1.169</v>
      </c>
      <c r="AA5" s="5">
        <v>1.1739999999999999</v>
      </c>
      <c r="AB5" s="5">
        <v>1.1759999999999999</v>
      </c>
      <c r="AC5" s="5">
        <v>1.179</v>
      </c>
      <c r="AD5" s="5">
        <v>29.236000000000001</v>
      </c>
    </row>
    <row r="6" spans="1:30" ht="16.5" customHeight="1" x14ac:dyDescent="0.3">
      <c r="A6" s="12"/>
      <c r="B6" s="12"/>
      <c r="C6" s="12"/>
      <c r="D6" s="1">
        <v>3</v>
      </c>
      <c r="E6" s="5">
        <v>0.35599999999999998</v>
      </c>
      <c r="F6" s="5">
        <v>0.46100000000000002</v>
      </c>
      <c r="G6" s="5">
        <v>0.56699999999999995</v>
      </c>
      <c r="H6" s="5">
        <v>0.67200000000000004</v>
      </c>
      <c r="I6" s="5">
        <v>0.75900000000000001</v>
      </c>
      <c r="J6" s="5">
        <v>0.83299999999999996</v>
      </c>
      <c r="K6" s="5">
        <v>0.89500000000000002</v>
      </c>
      <c r="L6" s="5">
        <v>0.94699999999999995</v>
      </c>
      <c r="M6" s="5">
        <v>0.996</v>
      </c>
      <c r="N6" s="5">
        <v>1.0229999999999999</v>
      </c>
      <c r="O6" s="5">
        <v>1.052</v>
      </c>
      <c r="P6" s="5">
        <v>1.0880000000000001</v>
      </c>
      <c r="Q6" s="5">
        <v>1.0900000000000001</v>
      </c>
      <c r="R6" s="5">
        <v>1.109</v>
      </c>
      <c r="S6" s="5">
        <v>1.1259999999999999</v>
      </c>
      <c r="T6" s="5">
        <v>1.1419999999999999</v>
      </c>
      <c r="U6" s="5">
        <v>1.141</v>
      </c>
      <c r="V6" s="5">
        <v>1.145</v>
      </c>
      <c r="W6" s="5">
        <v>1.147</v>
      </c>
      <c r="X6" s="5">
        <v>1.147</v>
      </c>
      <c r="Y6" s="5">
        <v>1.1439999999999999</v>
      </c>
      <c r="Z6" s="5">
        <v>1.1519999999999999</v>
      </c>
      <c r="AA6" s="5">
        <v>1.1639999999999999</v>
      </c>
      <c r="AB6" s="5">
        <v>1.175</v>
      </c>
      <c r="AC6" s="5">
        <v>1.1990000000000001</v>
      </c>
      <c r="AD6" s="5">
        <v>29.181999999999999</v>
      </c>
    </row>
    <row r="7" spans="1:30" ht="16.5" customHeight="1" x14ac:dyDescent="0.3">
      <c r="A7" s="12"/>
      <c r="B7" s="12"/>
      <c r="C7" s="12"/>
      <c r="D7" s="1">
        <v>4</v>
      </c>
      <c r="E7" s="5">
        <v>0.36199999999999999</v>
      </c>
      <c r="F7" s="5">
        <v>0.46600000000000003</v>
      </c>
      <c r="G7" s="5">
        <v>0.57699999999999996</v>
      </c>
      <c r="H7" s="5">
        <v>0.67400000000000004</v>
      </c>
      <c r="I7" s="5">
        <v>0.76</v>
      </c>
      <c r="J7" s="5">
        <v>0.83699999999999997</v>
      </c>
      <c r="K7" s="5">
        <v>0.89800000000000002</v>
      </c>
      <c r="L7" s="5">
        <v>0.95699999999999996</v>
      </c>
      <c r="M7" s="5">
        <v>0.995</v>
      </c>
      <c r="N7" s="5">
        <v>1.0269999999999999</v>
      </c>
      <c r="O7" s="5">
        <v>1.0509999999999999</v>
      </c>
      <c r="P7" s="5">
        <v>1.0760000000000001</v>
      </c>
      <c r="Q7" s="5">
        <v>1.093</v>
      </c>
      <c r="R7" s="5">
        <v>1.1160000000000001</v>
      </c>
      <c r="S7" s="5">
        <v>1.129</v>
      </c>
      <c r="T7" s="5">
        <v>1.1499999999999999</v>
      </c>
      <c r="U7" s="5">
        <v>1.157</v>
      </c>
      <c r="V7" s="5">
        <v>1.161</v>
      </c>
      <c r="W7" s="5">
        <v>1.159</v>
      </c>
      <c r="X7" s="5">
        <v>1.1599999999999999</v>
      </c>
      <c r="Y7" s="5">
        <v>1.1639999999999999</v>
      </c>
      <c r="Z7" s="5">
        <v>1.1679999999999999</v>
      </c>
      <c r="AA7" s="5">
        <v>1.1870000000000001</v>
      </c>
      <c r="AB7" s="5">
        <v>1.177</v>
      </c>
      <c r="AC7" s="5">
        <v>1.1830000000000001</v>
      </c>
      <c r="AD7" s="5">
        <v>29.312000000000001</v>
      </c>
    </row>
    <row r="8" spans="1:30" ht="16.5" customHeight="1" x14ac:dyDescent="0.3">
      <c r="A8" s="12"/>
      <c r="B8" s="12"/>
      <c r="C8" s="12"/>
      <c r="D8" s="1">
        <v>5</v>
      </c>
      <c r="E8" s="5">
        <v>0.36499999999999999</v>
      </c>
      <c r="F8" s="5">
        <v>0.45300000000000001</v>
      </c>
      <c r="G8" s="5">
        <v>0.56499999999999995</v>
      </c>
      <c r="H8" s="5">
        <v>0.65900000000000003</v>
      </c>
      <c r="I8" s="5">
        <v>0.75</v>
      </c>
      <c r="J8" s="5">
        <v>0.82699999999999996</v>
      </c>
      <c r="K8" s="5">
        <v>0.89100000000000001</v>
      </c>
      <c r="L8" s="5">
        <v>0.95</v>
      </c>
      <c r="M8" s="5">
        <v>0.996</v>
      </c>
      <c r="N8" s="5">
        <v>1.0229999999999999</v>
      </c>
      <c r="O8" s="5">
        <v>1.05</v>
      </c>
      <c r="P8" s="5">
        <v>1.0740000000000001</v>
      </c>
      <c r="Q8" s="5">
        <v>1.0940000000000001</v>
      </c>
      <c r="R8" s="5">
        <v>1.1020000000000001</v>
      </c>
      <c r="S8" s="5">
        <v>1.135</v>
      </c>
      <c r="T8" s="5">
        <v>1.153</v>
      </c>
      <c r="U8" s="5">
        <v>1.1459999999999999</v>
      </c>
      <c r="V8" s="5">
        <v>1.1479999999999999</v>
      </c>
      <c r="W8" s="5">
        <v>1.149</v>
      </c>
      <c r="X8" s="5">
        <v>1.1499999999999999</v>
      </c>
      <c r="Y8" s="5">
        <v>1.149</v>
      </c>
      <c r="Z8" s="5">
        <v>1.1499999999999999</v>
      </c>
      <c r="AA8" s="5">
        <v>1.171</v>
      </c>
      <c r="AB8" s="5">
        <v>1.1739999999999999</v>
      </c>
      <c r="AC8" s="5">
        <v>1.1739999999999999</v>
      </c>
      <c r="AD8" s="5">
        <v>29.122</v>
      </c>
    </row>
    <row r="9" spans="1:30" ht="16.5" customHeight="1" x14ac:dyDescent="0.3">
      <c r="A9" s="12"/>
      <c r="B9" s="12"/>
      <c r="C9" s="12"/>
      <c r="D9" s="1">
        <v>6</v>
      </c>
      <c r="E9" s="5">
        <v>0.375</v>
      </c>
      <c r="F9" s="5">
        <v>0.46100000000000002</v>
      </c>
      <c r="G9" s="5">
        <v>0.57799999999999996</v>
      </c>
      <c r="H9" s="5">
        <v>0.67</v>
      </c>
      <c r="I9" s="5">
        <v>0.75600000000000001</v>
      </c>
      <c r="J9" s="5">
        <v>0.83199999999999996</v>
      </c>
      <c r="K9" s="5">
        <v>0.89400000000000002</v>
      </c>
      <c r="L9" s="5">
        <v>0.95499999999999996</v>
      </c>
      <c r="M9" s="5">
        <v>0.99199999999999999</v>
      </c>
      <c r="N9" s="5">
        <v>1.03</v>
      </c>
      <c r="O9" s="5">
        <v>1.0549999999999999</v>
      </c>
      <c r="P9" s="5">
        <v>1.0780000000000001</v>
      </c>
      <c r="Q9" s="5">
        <v>1.0900000000000001</v>
      </c>
      <c r="R9" s="5">
        <v>1.1120000000000001</v>
      </c>
      <c r="S9" s="5">
        <v>1.1279999999999999</v>
      </c>
      <c r="T9" s="5">
        <v>1.1419999999999999</v>
      </c>
      <c r="U9" s="5">
        <v>1.151</v>
      </c>
      <c r="V9" s="5">
        <v>1.1479999999999999</v>
      </c>
      <c r="W9" s="5">
        <v>1.1539999999999999</v>
      </c>
      <c r="X9" s="5">
        <v>1.157</v>
      </c>
      <c r="Y9" s="5">
        <v>1.163</v>
      </c>
      <c r="Z9" s="5">
        <v>1.165</v>
      </c>
      <c r="AA9" s="5">
        <v>1.161</v>
      </c>
      <c r="AB9" s="5">
        <v>1.1599999999999999</v>
      </c>
      <c r="AC9" s="5">
        <v>1.161</v>
      </c>
      <c r="AD9" s="5">
        <v>29.338000000000001</v>
      </c>
    </row>
    <row r="10" spans="1:30" ht="16.5" customHeight="1" x14ac:dyDescent="0.3">
      <c r="A10" s="12"/>
      <c r="B10" s="12"/>
      <c r="C10" s="12"/>
      <c r="D10" s="1">
        <v>7</v>
      </c>
      <c r="E10" s="5">
        <v>0.34200000000000003</v>
      </c>
      <c r="F10" s="5">
        <v>0.45400000000000001</v>
      </c>
      <c r="G10" s="5">
        <v>0.55500000000000005</v>
      </c>
      <c r="H10" s="5">
        <v>0.67200000000000004</v>
      </c>
      <c r="I10" s="5">
        <v>0.751</v>
      </c>
      <c r="J10" s="5">
        <v>0.83299999999999996</v>
      </c>
      <c r="K10" s="5">
        <v>0.88400000000000001</v>
      </c>
      <c r="L10" s="5">
        <v>0.94399999999999995</v>
      </c>
      <c r="M10" s="5">
        <v>0.98299999999999998</v>
      </c>
      <c r="N10" s="5">
        <v>1.018</v>
      </c>
      <c r="O10" s="5">
        <v>1.0349999999999999</v>
      </c>
      <c r="P10" s="5">
        <v>1.0649999999999999</v>
      </c>
      <c r="Q10" s="5">
        <v>1.0780000000000001</v>
      </c>
      <c r="R10" s="5">
        <v>1.0960000000000001</v>
      </c>
      <c r="S10" s="5">
        <v>1.111</v>
      </c>
      <c r="T10" s="5">
        <v>1.125</v>
      </c>
      <c r="U10" s="5">
        <v>1.1279999999999999</v>
      </c>
      <c r="V10" s="5">
        <v>1.1279999999999999</v>
      </c>
      <c r="W10" s="5">
        <v>1.131</v>
      </c>
      <c r="X10" s="5">
        <v>1.1319999999999999</v>
      </c>
      <c r="Y10" s="5">
        <v>1.129</v>
      </c>
      <c r="Z10" s="5">
        <v>1.137</v>
      </c>
      <c r="AA10" s="5">
        <v>1.1499999999999999</v>
      </c>
      <c r="AB10" s="5">
        <v>1.153</v>
      </c>
      <c r="AC10" s="5">
        <v>1.1559999999999999</v>
      </c>
      <c r="AD10" s="5">
        <v>29.350999999999999</v>
      </c>
    </row>
    <row r="11" spans="1:30" ht="16.5" customHeight="1" x14ac:dyDescent="0.3">
      <c r="A11" s="12"/>
      <c r="B11" s="12"/>
      <c r="C11" s="12"/>
      <c r="D11" s="1">
        <v>8</v>
      </c>
      <c r="E11" s="5">
        <v>0.35599999999999998</v>
      </c>
      <c r="F11" s="5">
        <v>0.46300000000000002</v>
      </c>
      <c r="G11" s="5">
        <v>0.57299999999999995</v>
      </c>
      <c r="H11" s="5">
        <v>0.66600000000000004</v>
      </c>
      <c r="I11" s="5">
        <v>0.75700000000000001</v>
      </c>
      <c r="J11" s="5">
        <v>0.84599999999999997</v>
      </c>
      <c r="K11" s="5">
        <v>0.89300000000000002</v>
      </c>
      <c r="L11" s="5">
        <v>0.94799999999999995</v>
      </c>
      <c r="M11" s="5">
        <v>0.995</v>
      </c>
      <c r="N11" s="5">
        <v>1.026</v>
      </c>
      <c r="O11" s="5">
        <v>1.048</v>
      </c>
      <c r="P11" s="5">
        <v>1.079</v>
      </c>
      <c r="Q11" s="5">
        <v>1.0980000000000001</v>
      </c>
      <c r="R11" s="5">
        <v>1.1080000000000001</v>
      </c>
      <c r="S11" s="5">
        <v>1.127</v>
      </c>
      <c r="T11" s="5">
        <v>1.1359999999999999</v>
      </c>
      <c r="U11" s="5">
        <v>1.1399999999999999</v>
      </c>
      <c r="V11" s="5">
        <v>1.1439999999999999</v>
      </c>
      <c r="W11" s="5">
        <v>1.1539999999999999</v>
      </c>
      <c r="X11" s="5">
        <v>1.1639999999999999</v>
      </c>
      <c r="Y11" s="5">
        <v>1.163</v>
      </c>
      <c r="Z11" s="5">
        <v>1.173</v>
      </c>
      <c r="AA11" s="5">
        <v>1.18</v>
      </c>
      <c r="AB11" s="5">
        <v>1.175</v>
      </c>
      <c r="AC11" s="5">
        <v>1.1830000000000001</v>
      </c>
      <c r="AD11" s="5">
        <v>29.361999999999998</v>
      </c>
    </row>
    <row r="12" spans="1:30" ht="16.5" customHeight="1" x14ac:dyDescent="0.3">
      <c r="A12" s="12"/>
      <c r="B12" s="12"/>
      <c r="C12" s="12"/>
      <c r="D12" s="1">
        <v>9</v>
      </c>
      <c r="E12" s="5">
        <v>0.36099999999999999</v>
      </c>
      <c r="F12" s="5">
        <v>0.46400000000000002</v>
      </c>
      <c r="G12" s="5">
        <v>0.56999999999999995</v>
      </c>
      <c r="H12" s="5">
        <v>0.67</v>
      </c>
      <c r="I12" s="5">
        <v>0.752</v>
      </c>
      <c r="J12" s="5">
        <v>0.83499999999999996</v>
      </c>
      <c r="K12" s="5">
        <v>0.89800000000000002</v>
      </c>
      <c r="L12" s="5">
        <v>0.95399999999999996</v>
      </c>
      <c r="M12" s="5">
        <v>0.99399999999999999</v>
      </c>
      <c r="N12" s="5">
        <v>1.028</v>
      </c>
      <c r="O12" s="5">
        <v>1.056</v>
      </c>
      <c r="P12" s="5">
        <v>1.081</v>
      </c>
      <c r="Q12" s="5">
        <v>1.0960000000000001</v>
      </c>
      <c r="R12" s="5">
        <v>1.115</v>
      </c>
      <c r="S12" s="5">
        <v>1.127</v>
      </c>
      <c r="T12" s="5">
        <v>1.1379999999999999</v>
      </c>
      <c r="U12" s="5">
        <v>1.1419999999999999</v>
      </c>
      <c r="V12" s="5">
        <v>1.161</v>
      </c>
      <c r="W12" s="5">
        <v>1.163</v>
      </c>
      <c r="X12" s="5">
        <v>1.163</v>
      </c>
      <c r="Y12" s="5">
        <v>1.1599999999999999</v>
      </c>
      <c r="Z12" s="5">
        <v>1.165</v>
      </c>
      <c r="AA12" s="5">
        <v>1.1779999999999999</v>
      </c>
      <c r="AB12" s="5">
        <v>1.175</v>
      </c>
      <c r="AC12" s="5">
        <v>1.1659999999999999</v>
      </c>
      <c r="AD12" s="5">
        <v>29.242000000000001</v>
      </c>
    </row>
    <row r="13" spans="1:30" ht="16.5" customHeight="1" x14ac:dyDescent="0.3">
      <c r="A13" s="12"/>
      <c r="B13" s="12"/>
      <c r="C13" s="12"/>
      <c r="D13" s="1">
        <v>10</v>
      </c>
      <c r="E13" s="5">
        <v>0.376</v>
      </c>
      <c r="F13" s="5">
        <v>0.46600000000000003</v>
      </c>
      <c r="G13" s="5">
        <v>0.57599999999999996</v>
      </c>
      <c r="H13" s="5">
        <v>0.68</v>
      </c>
      <c r="I13" s="5">
        <v>0.76600000000000001</v>
      </c>
      <c r="J13" s="5">
        <v>0.83299999999999996</v>
      </c>
      <c r="K13" s="5">
        <v>0.89900000000000002</v>
      </c>
      <c r="L13" s="5">
        <v>0.95</v>
      </c>
      <c r="M13" s="5">
        <v>1</v>
      </c>
      <c r="N13" s="5">
        <v>1.0269999999999999</v>
      </c>
      <c r="O13" s="5">
        <v>1.0609999999999999</v>
      </c>
      <c r="P13" s="5">
        <v>1.0860000000000001</v>
      </c>
      <c r="Q13" s="5">
        <v>1.099</v>
      </c>
      <c r="R13" s="5">
        <v>1.1140000000000001</v>
      </c>
      <c r="S13" s="5">
        <v>1.1279999999999999</v>
      </c>
      <c r="T13" s="5">
        <v>1.137</v>
      </c>
      <c r="U13" s="5">
        <v>1.149</v>
      </c>
      <c r="V13" s="5">
        <v>1.149</v>
      </c>
      <c r="W13" s="5">
        <v>1.1539999999999999</v>
      </c>
      <c r="X13" s="5">
        <v>1.1519999999999999</v>
      </c>
      <c r="Y13" s="5">
        <v>1.159</v>
      </c>
      <c r="Z13" s="5">
        <v>1.171</v>
      </c>
      <c r="AA13" s="5">
        <v>1.155</v>
      </c>
      <c r="AB13" s="5">
        <v>1.1539999999999999</v>
      </c>
      <c r="AC13" s="5">
        <v>1.1830000000000001</v>
      </c>
      <c r="AD13" s="5">
        <v>29.308</v>
      </c>
    </row>
    <row r="14" spans="1:30" ht="16.5" customHeight="1" x14ac:dyDescent="0.3">
      <c r="A14" s="12"/>
      <c r="B14" s="12"/>
      <c r="C14" s="12"/>
      <c r="D14" s="1">
        <v>11</v>
      </c>
      <c r="E14" s="5">
        <v>0.36299999999999999</v>
      </c>
      <c r="F14" s="5">
        <v>0.46600000000000003</v>
      </c>
      <c r="G14" s="5">
        <v>0.57199999999999995</v>
      </c>
      <c r="H14" s="5">
        <v>0.66700000000000004</v>
      </c>
      <c r="I14" s="5">
        <v>0.75700000000000001</v>
      </c>
      <c r="J14" s="5">
        <v>0.83399999999999996</v>
      </c>
      <c r="K14" s="5">
        <v>0.89700000000000002</v>
      </c>
      <c r="L14" s="5">
        <v>0.95</v>
      </c>
      <c r="M14" s="5">
        <v>1.0029999999999999</v>
      </c>
      <c r="N14" s="5">
        <v>1.032</v>
      </c>
      <c r="O14" s="5">
        <v>1.0609999999999999</v>
      </c>
      <c r="P14" s="5">
        <v>1.0780000000000001</v>
      </c>
      <c r="Q14" s="5">
        <v>1.0980000000000001</v>
      </c>
      <c r="R14" s="5">
        <v>1.113</v>
      </c>
      <c r="S14" s="5">
        <v>1.131</v>
      </c>
      <c r="T14" s="5">
        <v>1.1419999999999999</v>
      </c>
      <c r="U14" s="5">
        <v>1.1499999999999999</v>
      </c>
      <c r="V14" s="5">
        <v>1.1479999999999999</v>
      </c>
      <c r="W14" s="5">
        <v>1.1499999999999999</v>
      </c>
      <c r="X14" s="5">
        <v>1.1539999999999999</v>
      </c>
      <c r="Y14" s="5">
        <v>1.147</v>
      </c>
      <c r="Z14" s="5">
        <v>1.167</v>
      </c>
      <c r="AA14" s="5">
        <v>1.17</v>
      </c>
      <c r="AB14" s="5">
        <v>1.1659999999999999</v>
      </c>
      <c r="AC14" s="5">
        <v>1.167</v>
      </c>
      <c r="AD14" s="5">
        <v>29.25</v>
      </c>
    </row>
    <row r="15" spans="1:30" ht="16.5" customHeight="1" x14ac:dyDescent="0.3">
      <c r="A15" s="12"/>
      <c r="B15" s="12"/>
      <c r="C15" s="12"/>
      <c r="D15" s="1">
        <v>12</v>
      </c>
      <c r="E15" s="5">
        <v>0.36699999999999999</v>
      </c>
      <c r="F15" s="5">
        <v>0.44700000000000001</v>
      </c>
      <c r="G15" s="5">
        <v>0.55400000000000005</v>
      </c>
      <c r="H15" s="5">
        <v>0.65200000000000002</v>
      </c>
      <c r="I15" s="5">
        <v>0.745</v>
      </c>
      <c r="J15" s="5">
        <v>0.82499999999999996</v>
      </c>
      <c r="K15" s="5">
        <v>0.88300000000000001</v>
      </c>
      <c r="L15" s="5">
        <v>0.93600000000000005</v>
      </c>
      <c r="M15" s="5">
        <v>0.98599999999999999</v>
      </c>
      <c r="N15" s="5">
        <v>1.008</v>
      </c>
      <c r="O15" s="5">
        <v>1.036</v>
      </c>
      <c r="P15" s="5">
        <v>1.0609999999999999</v>
      </c>
      <c r="Q15" s="5">
        <v>1.0740000000000001</v>
      </c>
      <c r="R15" s="5">
        <v>1.093</v>
      </c>
      <c r="S15" s="5">
        <v>1.1060000000000001</v>
      </c>
      <c r="T15" s="5">
        <v>1.1220000000000001</v>
      </c>
      <c r="U15" s="5">
        <v>1.1339999999999999</v>
      </c>
      <c r="V15" s="5">
        <v>1.135</v>
      </c>
      <c r="W15" s="5">
        <v>1.1399999999999999</v>
      </c>
      <c r="X15" s="5">
        <v>1.135</v>
      </c>
      <c r="Y15" s="5">
        <v>1.1399999999999999</v>
      </c>
      <c r="Z15" s="5">
        <v>1.1539999999999999</v>
      </c>
      <c r="AA15" s="5">
        <v>1.1499999999999999</v>
      </c>
      <c r="AB15" s="5">
        <v>1.1359999999999999</v>
      </c>
      <c r="AC15" s="5">
        <v>1.147</v>
      </c>
      <c r="AD15" s="5">
        <v>29.19</v>
      </c>
    </row>
    <row r="16" spans="1:30" ht="16.5" customHeight="1" x14ac:dyDescent="0.3">
      <c r="A16" s="12"/>
      <c r="B16" s="12"/>
      <c r="C16" s="12"/>
      <c r="D16" s="1">
        <v>13</v>
      </c>
      <c r="E16" s="5">
        <v>0.371</v>
      </c>
      <c r="F16" s="5">
        <v>0.46500000000000002</v>
      </c>
      <c r="G16" s="5">
        <v>0.57799999999999996</v>
      </c>
      <c r="H16" s="5">
        <v>0.67500000000000004</v>
      </c>
      <c r="I16" s="5">
        <v>0.76800000000000002</v>
      </c>
      <c r="J16" s="5">
        <v>0.84</v>
      </c>
      <c r="K16" s="5">
        <v>0.9</v>
      </c>
      <c r="L16" s="5">
        <v>0.95599999999999996</v>
      </c>
      <c r="M16" s="5">
        <v>1.0009999999999999</v>
      </c>
      <c r="N16" s="5">
        <v>1.028</v>
      </c>
      <c r="O16" s="5">
        <v>1.071</v>
      </c>
      <c r="P16" s="5">
        <v>1.085</v>
      </c>
      <c r="Q16" s="5">
        <v>1.097</v>
      </c>
      <c r="R16" s="5">
        <v>1.115</v>
      </c>
      <c r="S16" s="5">
        <v>1.1319999999999999</v>
      </c>
      <c r="T16" s="5">
        <v>1.1499999999999999</v>
      </c>
      <c r="U16" s="5">
        <v>1.1579999999999999</v>
      </c>
      <c r="V16" s="5">
        <v>1.1559999999999999</v>
      </c>
      <c r="W16" s="5">
        <v>1.153</v>
      </c>
      <c r="X16" s="5">
        <v>1.1599999999999999</v>
      </c>
      <c r="Y16" s="5">
        <v>1.155</v>
      </c>
      <c r="Z16" s="5">
        <v>1.1639999999999999</v>
      </c>
      <c r="AA16" s="5">
        <v>1.179</v>
      </c>
      <c r="AB16" s="5">
        <v>1.171</v>
      </c>
      <c r="AC16" s="5">
        <v>1.1759999999999999</v>
      </c>
      <c r="AD16" s="5">
        <v>29.263999999999999</v>
      </c>
    </row>
    <row r="17" spans="1:30" ht="16.5" customHeight="1" x14ac:dyDescent="0.3">
      <c r="A17" s="12"/>
      <c r="B17" s="12"/>
      <c r="C17" s="12"/>
      <c r="D17" s="1">
        <v>14</v>
      </c>
      <c r="E17" s="5">
        <v>0.35599999999999998</v>
      </c>
      <c r="F17" s="5">
        <v>0.45700000000000002</v>
      </c>
      <c r="G17" s="5">
        <v>0.57699999999999996</v>
      </c>
      <c r="H17" s="5">
        <v>0.66900000000000004</v>
      </c>
      <c r="I17" s="5">
        <v>0.76200000000000001</v>
      </c>
      <c r="J17" s="5">
        <v>0.84399999999999997</v>
      </c>
      <c r="K17" s="5">
        <v>0.89400000000000002</v>
      </c>
      <c r="L17" s="5">
        <v>0.95099999999999996</v>
      </c>
      <c r="M17" s="5">
        <v>0.99299999999999999</v>
      </c>
      <c r="N17" s="5">
        <v>1.0249999999999999</v>
      </c>
      <c r="O17" s="5">
        <v>1.0509999999999999</v>
      </c>
      <c r="P17" s="5">
        <v>1.081</v>
      </c>
      <c r="Q17" s="5">
        <v>1.101</v>
      </c>
      <c r="R17" s="5">
        <v>1.1100000000000001</v>
      </c>
      <c r="S17" s="5">
        <v>1.129</v>
      </c>
      <c r="T17" s="5">
        <v>1.143</v>
      </c>
      <c r="U17" s="5">
        <v>1.155</v>
      </c>
      <c r="V17" s="5">
        <v>1.155</v>
      </c>
      <c r="W17" s="5">
        <v>1.1599999999999999</v>
      </c>
      <c r="X17" s="5">
        <v>1.1659999999999999</v>
      </c>
      <c r="Y17" s="5">
        <v>1.161</v>
      </c>
      <c r="Z17" s="5">
        <v>1.169</v>
      </c>
      <c r="AA17" s="5">
        <v>1.175</v>
      </c>
      <c r="AB17" s="5">
        <v>1.1619999999999999</v>
      </c>
      <c r="AC17" s="5">
        <v>1.1739999999999999</v>
      </c>
      <c r="AD17" s="5">
        <v>29.335999999999999</v>
      </c>
    </row>
    <row r="18" spans="1:30" ht="16.5" customHeight="1" x14ac:dyDescent="0.3">
      <c r="A18" s="12"/>
      <c r="B18" s="12"/>
      <c r="C18" s="12"/>
      <c r="D18" s="1">
        <v>15</v>
      </c>
      <c r="E18" s="5">
        <v>0.34599999999999997</v>
      </c>
      <c r="F18" s="5">
        <v>0.46100000000000002</v>
      </c>
      <c r="G18" s="5">
        <v>0.56299999999999994</v>
      </c>
      <c r="H18" s="5">
        <v>0.66300000000000003</v>
      </c>
      <c r="I18" s="5">
        <v>0.749</v>
      </c>
      <c r="J18" s="5">
        <v>0.83499999999999996</v>
      </c>
      <c r="K18" s="5">
        <v>0.88800000000000001</v>
      </c>
      <c r="L18" s="5">
        <v>0.94699999999999995</v>
      </c>
      <c r="M18" s="5">
        <v>0.99199999999999999</v>
      </c>
      <c r="N18" s="5">
        <v>1.0249999999999999</v>
      </c>
      <c r="O18" s="5">
        <v>1.044</v>
      </c>
      <c r="P18" s="5">
        <v>1.0720000000000001</v>
      </c>
      <c r="Q18" s="5">
        <v>1.095</v>
      </c>
      <c r="R18" s="5">
        <v>1.113</v>
      </c>
      <c r="S18" s="5">
        <v>1.1339999999999999</v>
      </c>
      <c r="T18" s="5">
        <v>1.145</v>
      </c>
      <c r="U18" s="5">
        <v>1.1539999999999999</v>
      </c>
      <c r="V18" s="5">
        <v>1.1659999999999999</v>
      </c>
      <c r="W18" s="5">
        <v>1.1639999999999999</v>
      </c>
      <c r="X18" s="5">
        <v>1.1599999999999999</v>
      </c>
      <c r="Y18" s="5">
        <v>1.157</v>
      </c>
      <c r="Z18" s="5">
        <v>1.179</v>
      </c>
      <c r="AA18" s="5">
        <v>1.1830000000000001</v>
      </c>
      <c r="AB18" s="5">
        <v>1.1839999999999999</v>
      </c>
      <c r="AC18" s="5">
        <v>1.2010000000000001</v>
      </c>
      <c r="AD18" s="5">
        <v>29.382999999999999</v>
      </c>
    </row>
    <row r="19" spans="1:30" ht="16.5" customHeight="1" x14ac:dyDescent="0.3">
      <c r="A19" s="12"/>
      <c r="B19" s="12"/>
      <c r="C19" s="12"/>
      <c r="D19" s="1">
        <v>16</v>
      </c>
      <c r="E19" s="5">
        <v>0.35899999999999999</v>
      </c>
      <c r="F19" s="5">
        <v>0.47</v>
      </c>
      <c r="G19" s="5">
        <v>0.58899999999999997</v>
      </c>
      <c r="H19" s="5">
        <v>0.68200000000000005</v>
      </c>
      <c r="I19" s="5">
        <v>0.76100000000000001</v>
      </c>
      <c r="J19" s="5">
        <v>0.83199999999999996</v>
      </c>
      <c r="K19" s="5">
        <v>0.88900000000000001</v>
      </c>
      <c r="L19" s="5">
        <v>0.95</v>
      </c>
      <c r="M19" s="5">
        <v>0.99299999999999999</v>
      </c>
      <c r="N19" s="5">
        <v>1.0229999999999999</v>
      </c>
      <c r="O19" s="5">
        <v>1.042</v>
      </c>
      <c r="P19" s="5">
        <v>1.0780000000000001</v>
      </c>
      <c r="Q19" s="5">
        <v>1.0920000000000001</v>
      </c>
      <c r="R19" s="5">
        <v>1.105</v>
      </c>
      <c r="S19" s="5">
        <v>1.1240000000000001</v>
      </c>
      <c r="T19" s="5">
        <v>1.1419999999999999</v>
      </c>
      <c r="U19" s="5">
        <v>1.1359999999999999</v>
      </c>
      <c r="V19" s="5">
        <v>1.167</v>
      </c>
      <c r="W19" s="5">
        <v>1.163</v>
      </c>
      <c r="X19" s="5">
        <v>1.177</v>
      </c>
      <c r="Y19" s="5">
        <v>1.179</v>
      </c>
      <c r="Z19" s="5">
        <v>1.143</v>
      </c>
      <c r="AA19" s="5">
        <v>1.1439999999999999</v>
      </c>
      <c r="AB19" s="5">
        <v>1.1679999999999999</v>
      </c>
      <c r="AC19" s="5">
        <v>1.1819999999999999</v>
      </c>
      <c r="AD19" s="5">
        <v>29.248999999999999</v>
      </c>
    </row>
    <row r="20" spans="1:30" ht="16.5" customHeight="1" x14ac:dyDescent="0.3">
      <c r="A20" s="12"/>
      <c r="B20" s="12"/>
      <c r="C20" s="12"/>
      <c r="D20" s="1">
        <v>17</v>
      </c>
      <c r="E20" s="5">
        <v>0.34899999999999998</v>
      </c>
      <c r="F20" s="5">
        <v>0.45700000000000002</v>
      </c>
      <c r="G20" s="5">
        <v>0.56799999999999995</v>
      </c>
      <c r="H20" s="5">
        <v>0.66200000000000003</v>
      </c>
      <c r="I20" s="5">
        <v>0.751</v>
      </c>
      <c r="J20" s="5">
        <v>0.82899999999999996</v>
      </c>
      <c r="K20" s="5">
        <v>0.89200000000000002</v>
      </c>
      <c r="L20" s="5">
        <v>0.94899999999999995</v>
      </c>
      <c r="M20" s="5">
        <v>0.99099999999999999</v>
      </c>
      <c r="N20" s="5">
        <v>1.0249999999999999</v>
      </c>
      <c r="O20" s="5">
        <v>1.0580000000000001</v>
      </c>
      <c r="P20" s="5">
        <v>1.08</v>
      </c>
      <c r="Q20" s="5">
        <v>1.0880000000000001</v>
      </c>
      <c r="R20" s="5">
        <v>1.103</v>
      </c>
      <c r="S20" s="5">
        <v>1.129</v>
      </c>
      <c r="T20" s="5">
        <v>1.161</v>
      </c>
      <c r="U20" s="5">
        <v>1.1439999999999999</v>
      </c>
      <c r="V20" s="5">
        <v>1.1499999999999999</v>
      </c>
      <c r="W20" s="5">
        <v>1.151</v>
      </c>
      <c r="X20" s="5">
        <v>1.1519999999999999</v>
      </c>
      <c r="Y20" s="5">
        <v>1.1519999999999999</v>
      </c>
      <c r="Z20" s="5">
        <v>1.155</v>
      </c>
      <c r="AA20" s="5">
        <v>1.1579999999999999</v>
      </c>
      <c r="AB20" s="5">
        <v>1.1659999999999999</v>
      </c>
      <c r="AC20" s="5">
        <v>1.171</v>
      </c>
      <c r="AD20" s="5">
        <v>29.196999999999999</v>
      </c>
    </row>
    <row r="21" spans="1:30" ht="16.5" customHeight="1" x14ac:dyDescent="0.3">
      <c r="A21" s="12"/>
      <c r="B21" s="12"/>
      <c r="C21" s="12"/>
      <c r="D21" s="1">
        <v>18</v>
      </c>
      <c r="E21" s="5">
        <v>0.36299999999999999</v>
      </c>
      <c r="F21" s="5">
        <v>0.46700000000000003</v>
      </c>
      <c r="G21" s="5">
        <v>0.57699999999999996</v>
      </c>
      <c r="H21" s="5">
        <v>0.67700000000000005</v>
      </c>
      <c r="I21" s="5">
        <v>0.76500000000000001</v>
      </c>
      <c r="J21" s="5">
        <v>0.84</v>
      </c>
      <c r="K21" s="5">
        <v>0.90200000000000002</v>
      </c>
      <c r="L21" s="5">
        <v>0.95499999999999996</v>
      </c>
      <c r="M21" s="5">
        <v>1.0029999999999999</v>
      </c>
      <c r="N21" s="5">
        <v>1.03</v>
      </c>
      <c r="O21" s="5">
        <v>1.0629999999999999</v>
      </c>
      <c r="P21" s="5">
        <v>1.083</v>
      </c>
      <c r="Q21" s="5">
        <v>1.093</v>
      </c>
      <c r="R21" s="5">
        <v>1.127</v>
      </c>
      <c r="S21" s="5">
        <v>1.135</v>
      </c>
      <c r="T21" s="5">
        <v>1.147</v>
      </c>
      <c r="U21" s="5">
        <v>1.145</v>
      </c>
      <c r="V21" s="5">
        <v>1.1479999999999999</v>
      </c>
      <c r="W21" s="5">
        <v>1.1519999999999999</v>
      </c>
      <c r="X21" s="5">
        <v>1.163</v>
      </c>
      <c r="Y21" s="5">
        <v>1.1499999999999999</v>
      </c>
      <c r="Z21" s="5">
        <v>1.1639999999999999</v>
      </c>
      <c r="AA21" s="5">
        <v>1.17</v>
      </c>
      <c r="AB21" s="5">
        <v>1.1659999999999999</v>
      </c>
      <c r="AC21" s="5">
        <v>1.1779999999999999</v>
      </c>
      <c r="AD21" s="5">
        <v>29.195</v>
      </c>
    </row>
    <row r="22" spans="1:30" ht="16.5" customHeight="1" x14ac:dyDescent="0.3">
      <c r="A22" s="12"/>
      <c r="B22" s="12"/>
      <c r="C22" s="12"/>
      <c r="D22" s="1">
        <v>19</v>
      </c>
      <c r="E22" s="5">
        <v>0.36799999999999999</v>
      </c>
      <c r="F22" s="5">
        <v>0.46700000000000003</v>
      </c>
      <c r="G22" s="5">
        <v>0.56999999999999995</v>
      </c>
      <c r="H22" s="5">
        <v>0.66700000000000004</v>
      </c>
      <c r="I22" s="5">
        <v>0.75700000000000001</v>
      </c>
      <c r="J22" s="5">
        <v>0.84299999999999997</v>
      </c>
      <c r="K22" s="5">
        <v>0.89600000000000002</v>
      </c>
      <c r="L22" s="5">
        <v>0.95</v>
      </c>
      <c r="M22" s="5">
        <v>0.99399999999999999</v>
      </c>
      <c r="N22" s="5">
        <v>1.0229999999999999</v>
      </c>
      <c r="O22" s="5">
        <v>1.05</v>
      </c>
      <c r="P22" s="5">
        <v>1.075</v>
      </c>
      <c r="Q22" s="5">
        <v>1.0940000000000001</v>
      </c>
      <c r="R22" s="5">
        <v>1.115</v>
      </c>
      <c r="S22" s="5">
        <v>1.1299999999999999</v>
      </c>
      <c r="T22" s="5">
        <v>1.1459999999999999</v>
      </c>
      <c r="U22" s="5">
        <v>1.153</v>
      </c>
      <c r="V22" s="5">
        <v>1.149</v>
      </c>
      <c r="W22" s="5">
        <v>1.1439999999999999</v>
      </c>
      <c r="X22" s="5">
        <v>1.1519999999999999</v>
      </c>
      <c r="Y22" s="5">
        <v>1.1619999999999999</v>
      </c>
      <c r="Z22" s="5">
        <v>1.167</v>
      </c>
      <c r="AA22" s="5">
        <v>1.1719999999999999</v>
      </c>
      <c r="AB22" s="5">
        <v>1.1779999999999999</v>
      </c>
      <c r="AC22" s="5">
        <v>1.171</v>
      </c>
      <c r="AD22" s="5">
        <v>29.411000000000001</v>
      </c>
    </row>
    <row r="23" spans="1:30" ht="16.5" customHeight="1" x14ac:dyDescent="0.3">
      <c r="A23" s="12"/>
      <c r="B23" s="12"/>
      <c r="C23" s="12"/>
      <c r="D23" s="1">
        <v>20</v>
      </c>
      <c r="E23" s="5">
        <v>0.36299999999999999</v>
      </c>
      <c r="F23" s="5">
        <v>0.46700000000000003</v>
      </c>
      <c r="G23" s="5">
        <v>0.57699999999999996</v>
      </c>
      <c r="H23" s="5">
        <v>0.67900000000000005</v>
      </c>
      <c r="I23" s="5">
        <v>0.76100000000000001</v>
      </c>
      <c r="J23" s="5">
        <v>0.83499999999999996</v>
      </c>
      <c r="K23" s="5">
        <v>0.9</v>
      </c>
      <c r="L23" s="5">
        <v>0.95099999999999996</v>
      </c>
      <c r="M23" s="5">
        <v>0.995</v>
      </c>
      <c r="N23" s="5">
        <v>1.0249999999999999</v>
      </c>
      <c r="O23" s="5">
        <v>1.054</v>
      </c>
      <c r="P23" s="5">
        <v>1.077</v>
      </c>
      <c r="Q23" s="5">
        <v>1.093</v>
      </c>
      <c r="R23" s="5">
        <v>1.1140000000000001</v>
      </c>
      <c r="S23" s="5">
        <v>1.1319999999999999</v>
      </c>
      <c r="T23" s="5">
        <v>1.1459999999999999</v>
      </c>
      <c r="U23" s="5">
        <v>1.1539999999999999</v>
      </c>
      <c r="V23" s="5">
        <v>1.159</v>
      </c>
      <c r="W23" s="5">
        <v>1.1819999999999999</v>
      </c>
      <c r="X23" s="5">
        <v>1.173</v>
      </c>
      <c r="Y23" s="5">
        <v>1.171</v>
      </c>
      <c r="Z23" s="5">
        <v>1.1910000000000001</v>
      </c>
      <c r="AA23" s="5">
        <v>1.1779999999999999</v>
      </c>
      <c r="AB23" s="5">
        <v>1.173</v>
      </c>
      <c r="AC23" s="5">
        <v>1.1870000000000001</v>
      </c>
      <c r="AD23" s="5">
        <v>29.236000000000001</v>
      </c>
    </row>
    <row r="24" spans="1:30" ht="16.5" customHeight="1" x14ac:dyDescent="0.3">
      <c r="A24" s="12"/>
      <c r="B24" s="12"/>
      <c r="C24" s="12"/>
      <c r="D24" s="1">
        <v>21</v>
      </c>
      <c r="E24" s="5">
        <v>0.36799999999999999</v>
      </c>
      <c r="F24" s="5">
        <v>0.496</v>
      </c>
      <c r="G24" s="5">
        <v>0.59599999999999997</v>
      </c>
      <c r="H24" s="5">
        <v>0.69099999999999995</v>
      </c>
      <c r="I24" s="5">
        <v>0.76900000000000002</v>
      </c>
      <c r="J24" s="5">
        <v>0.84199999999999997</v>
      </c>
      <c r="K24" s="5">
        <v>0.90500000000000003</v>
      </c>
      <c r="L24" s="5">
        <v>0.95399999999999996</v>
      </c>
      <c r="M24" s="5">
        <v>0.999</v>
      </c>
      <c r="N24" s="5">
        <v>1.028</v>
      </c>
      <c r="O24" s="5">
        <v>1.0549999999999999</v>
      </c>
      <c r="P24" s="5">
        <v>1.085</v>
      </c>
      <c r="Q24" s="5">
        <v>1.105</v>
      </c>
      <c r="R24" s="5">
        <v>1.115</v>
      </c>
      <c r="S24" s="5">
        <v>1.129</v>
      </c>
      <c r="T24" s="5">
        <v>1.1459999999999999</v>
      </c>
      <c r="U24" s="5">
        <v>1.1499999999999999</v>
      </c>
      <c r="V24" s="5">
        <v>1.1499999999999999</v>
      </c>
      <c r="W24" s="5">
        <v>1.1539999999999999</v>
      </c>
      <c r="X24" s="5">
        <v>1.1599999999999999</v>
      </c>
      <c r="Y24" s="5">
        <v>1.153</v>
      </c>
      <c r="Z24" s="5">
        <v>1.1499999999999999</v>
      </c>
      <c r="AA24" s="5">
        <v>1.18</v>
      </c>
      <c r="AB24" s="5">
        <v>1.1739999999999999</v>
      </c>
      <c r="AC24" s="5">
        <v>1.181</v>
      </c>
      <c r="AD24" s="5">
        <v>29.321000000000002</v>
      </c>
    </row>
    <row r="25" spans="1:30" ht="16.5" customHeight="1" x14ac:dyDescent="0.3">
      <c r="A25" s="12"/>
      <c r="B25" s="12"/>
      <c r="C25" s="12"/>
      <c r="D25" s="1">
        <v>22</v>
      </c>
      <c r="E25" s="5">
        <v>0.34799999999999998</v>
      </c>
      <c r="F25" s="5">
        <v>0.45600000000000002</v>
      </c>
      <c r="G25" s="5">
        <v>0.57499999999999996</v>
      </c>
      <c r="H25" s="5">
        <v>0.67500000000000004</v>
      </c>
      <c r="I25" s="5">
        <v>0.76</v>
      </c>
      <c r="J25" s="5">
        <v>0.84099999999999997</v>
      </c>
      <c r="K25" s="5">
        <v>0.91</v>
      </c>
      <c r="L25" s="5">
        <v>0.95399999999999996</v>
      </c>
      <c r="M25" s="5">
        <v>1.002</v>
      </c>
      <c r="N25" s="5">
        <v>1.034</v>
      </c>
      <c r="O25" s="5">
        <v>1.1040000000000001</v>
      </c>
      <c r="P25" s="5">
        <v>1.077</v>
      </c>
      <c r="Q25" s="5">
        <v>1.091</v>
      </c>
      <c r="R25" s="5">
        <v>1.109</v>
      </c>
      <c r="S25" s="5">
        <v>1.131</v>
      </c>
      <c r="T25" s="5">
        <v>1.1419999999999999</v>
      </c>
      <c r="U25" s="5">
        <v>1.1459999999999999</v>
      </c>
      <c r="V25" s="5">
        <v>1.151</v>
      </c>
      <c r="W25" s="5">
        <v>1.149</v>
      </c>
      <c r="X25" s="5">
        <v>1.1439999999999999</v>
      </c>
      <c r="Y25" s="5">
        <v>1.1419999999999999</v>
      </c>
      <c r="Z25" s="5">
        <v>1.165</v>
      </c>
      <c r="AA25" s="5">
        <v>1.1719999999999999</v>
      </c>
      <c r="AB25" s="5">
        <v>1.1639999999999999</v>
      </c>
      <c r="AC25" s="5">
        <v>1.167</v>
      </c>
      <c r="AD25" s="5">
        <v>29.193000000000001</v>
      </c>
    </row>
    <row r="26" spans="1:30" ht="16.5" customHeight="1" x14ac:dyDescent="0.3">
      <c r="A26" s="12"/>
      <c r="B26" s="12"/>
      <c r="C26" s="12"/>
      <c r="D26" s="1">
        <v>23</v>
      </c>
      <c r="E26" s="5">
        <v>0.34599999999999997</v>
      </c>
      <c r="F26" s="5">
        <v>0.45500000000000002</v>
      </c>
      <c r="G26" s="5">
        <v>0.56299999999999994</v>
      </c>
      <c r="H26" s="5">
        <v>0.65800000000000003</v>
      </c>
      <c r="I26" s="5">
        <v>0.752</v>
      </c>
      <c r="J26" s="5">
        <v>0.83899999999999997</v>
      </c>
      <c r="K26" s="5">
        <v>0.90100000000000002</v>
      </c>
      <c r="L26" s="5">
        <v>0.95299999999999996</v>
      </c>
      <c r="M26" s="5">
        <v>0.99399999999999999</v>
      </c>
      <c r="N26" s="5">
        <v>1.0229999999999999</v>
      </c>
      <c r="O26" s="5">
        <v>1.0569999999999999</v>
      </c>
      <c r="P26" s="5">
        <v>1.0760000000000001</v>
      </c>
      <c r="Q26" s="5">
        <v>1.093</v>
      </c>
      <c r="R26" s="5">
        <v>1.1060000000000001</v>
      </c>
      <c r="S26" s="5">
        <v>1.1240000000000001</v>
      </c>
      <c r="T26" s="5">
        <v>1.1379999999999999</v>
      </c>
      <c r="U26" s="5">
        <v>1.145</v>
      </c>
      <c r="V26" s="5">
        <v>1.163</v>
      </c>
      <c r="W26" s="5">
        <v>1.1539999999999999</v>
      </c>
      <c r="X26" s="5">
        <v>1.1559999999999999</v>
      </c>
      <c r="Y26" s="5">
        <v>1.1679999999999999</v>
      </c>
      <c r="Z26" s="5">
        <v>1.165</v>
      </c>
      <c r="AA26" s="5">
        <v>1.169</v>
      </c>
      <c r="AB26" s="5">
        <v>1.177</v>
      </c>
      <c r="AC26" s="5">
        <v>1.177</v>
      </c>
      <c r="AD26" s="5">
        <v>29.27</v>
      </c>
    </row>
    <row r="27" spans="1:30" ht="16.5" customHeight="1" x14ac:dyDescent="0.3">
      <c r="A27" s="12"/>
      <c r="B27" s="12"/>
      <c r="C27" s="12"/>
      <c r="D27" s="1">
        <v>24</v>
      </c>
      <c r="E27" s="5">
        <v>0.35699999999999998</v>
      </c>
      <c r="F27" s="5">
        <v>0.46300000000000002</v>
      </c>
      <c r="G27" s="5">
        <v>0.57199999999999995</v>
      </c>
      <c r="H27" s="5">
        <v>0.67</v>
      </c>
      <c r="I27" s="5">
        <v>0.76</v>
      </c>
      <c r="J27" s="5">
        <v>0.83299999999999996</v>
      </c>
      <c r="K27" s="5">
        <v>0.89</v>
      </c>
      <c r="L27" s="5">
        <v>0.94699999999999995</v>
      </c>
      <c r="M27" s="5">
        <v>0.99399999999999999</v>
      </c>
      <c r="N27" s="5">
        <v>1.0249999999999999</v>
      </c>
      <c r="O27" s="5">
        <v>1.0569999999999999</v>
      </c>
      <c r="P27" s="5">
        <v>1.0740000000000001</v>
      </c>
      <c r="Q27" s="5">
        <v>1.0900000000000001</v>
      </c>
      <c r="R27" s="5">
        <v>1.111</v>
      </c>
      <c r="S27" s="5">
        <v>1.1220000000000001</v>
      </c>
      <c r="T27" s="5">
        <v>1.135</v>
      </c>
      <c r="U27" s="5">
        <v>1.139</v>
      </c>
      <c r="V27" s="5">
        <v>1.157</v>
      </c>
      <c r="W27" s="5">
        <v>1.1559999999999999</v>
      </c>
      <c r="X27" s="5">
        <v>1.153</v>
      </c>
      <c r="Y27" s="5">
        <v>1.155</v>
      </c>
      <c r="Z27" s="5">
        <v>1.169</v>
      </c>
      <c r="AA27" s="5">
        <v>1.1639999999999999</v>
      </c>
      <c r="AB27" s="5">
        <v>1.3240000000000001</v>
      </c>
      <c r="AC27" s="5">
        <v>1.262</v>
      </c>
      <c r="AD27" s="5">
        <v>29.335999999999999</v>
      </c>
    </row>
    <row r="28" spans="1:30" ht="16.5" customHeight="1" x14ac:dyDescent="0.3">
      <c r="A28" s="12"/>
      <c r="B28" s="12"/>
      <c r="C28" s="12"/>
      <c r="D28" s="1">
        <v>25</v>
      </c>
      <c r="E28" s="5">
        <v>0.34499999999999997</v>
      </c>
      <c r="F28" s="5">
        <v>0.45100000000000001</v>
      </c>
      <c r="G28" s="5">
        <v>0.56499999999999995</v>
      </c>
      <c r="H28" s="5">
        <v>0.66300000000000003</v>
      </c>
      <c r="I28" s="5">
        <v>0.751</v>
      </c>
      <c r="J28" s="5">
        <v>0.82899999999999996</v>
      </c>
      <c r="K28" s="5">
        <v>0.88900000000000001</v>
      </c>
      <c r="L28" s="5">
        <v>0.94499999999999995</v>
      </c>
      <c r="M28" s="5">
        <v>0.98799999999999999</v>
      </c>
      <c r="N28" s="5">
        <v>1.0189999999999999</v>
      </c>
      <c r="O28" s="5">
        <v>1.046</v>
      </c>
      <c r="P28" s="5">
        <v>1.0740000000000001</v>
      </c>
      <c r="Q28" s="5">
        <v>1.089</v>
      </c>
      <c r="R28" s="5">
        <v>1.1060000000000001</v>
      </c>
      <c r="S28" s="5">
        <v>1.125</v>
      </c>
      <c r="T28" s="5">
        <v>1.1379999999999999</v>
      </c>
      <c r="U28" s="5">
        <v>1.1419999999999999</v>
      </c>
      <c r="V28" s="5">
        <v>1.1439999999999999</v>
      </c>
      <c r="W28" s="5">
        <v>1.1439999999999999</v>
      </c>
      <c r="X28" s="5">
        <v>1.1459999999999999</v>
      </c>
      <c r="Y28" s="5">
        <v>1.145</v>
      </c>
      <c r="Z28" s="5">
        <v>1.159</v>
      </c>
      <c r="AA28" s="5">
        <v>1.161</v>
      </c>
      <c r="AB28" s="5">
        <v>1.1619999999999999</v>
      </c>
      <c r="AC28" s="5">
        <v>1.157</v>
      </c>
      <c r="AD28" s="5">
        <v>29.111999999999998</v>
      </c>
    </row>
    <row r="29" spans="1:30" ht="16.5" customHeight="1" x14ac:dyDescent="0.3">
      <c r="A29" s="12"/>
      <c r="B29" s="12"/>
      <c r="C29" s="12"/>
      <c r="D29" s="1">
        <v>26</v>
      </c>
      <c r="E29" s="5">
        <v>0.35799999999999998</v>
      </c>
      <c r="F29" s="5">
        <v>0.46600000000000003</v>
      </c>
      <c r="G29" s="5">
        <v>0.57699999999999996</v>
      </c>
      <c r="H29" s="5">
        <v>0.68300000000000005</v>
      </c>
      <c r="I29" s="5">
        <v>0.76400000000000001</v>
      </c>
      <c r="J29" s="5">
        <v>0.83699999999999997</v>
      </c>
      <c r="K29" s="5">
        <v>0.89600000000000002</v>
      </c>
      <c r="L29" s="5">
        <v>0.95199999999999996</v>
      </c>
      <c r="M29" s="5">
        <v>0.999</v>
      </c>
      <c r="N29" s="5">
        <v>1.0249999999999999</v>
      </c>
      <c r="O29" s="5">
        <v>1.048</v>
      </c>
      <c r="P29" s="5">
        <v>1.075</v>
      </c>
      <c r="Q29" s="5">
        <v>1.097</v>
      </c>
      <c r="R29" s="5">
        <v>1.1140000000000001</v>
      </c>
      <c r="S29" s="5">
        <v>1.1299999999999999</v>
      </c>
      <c r="T29" s="5">
        <v>1.1359999999999999</v>
      </c>
      <c r="U29" s="5">
        <v>1.141</v>
      </c>
      <c r="V29" s="5">
        <v>1.155</v>
      </c>
      <c r="W29" s="5">
        <v>1.1579999999999999</v>
      </c>
      <c r="X29" s="5">
        <v>1.1739999999999999</v>
      </c>
      <c r="Y29" s="5">
        <v>1.19</v>
      </c>
      <c r="Z29" s="5">
        <v>1.1779999999999999</v>
      </c>
      <c r="AA29" s="5">
        <v>1.194</v>
      </c>
      <c r="AB29" s="5">
        <v>1.1910000000000001</v>
      </c>
      <c r="AC29" s="5">
        <v>1.179</v>
      </c>
      <c r="AD29" s="5">
        <v>29.370999999999999</v>
      </c>
    </row>
    <row r="30" spans="1:30" x14ac:dyDescent="0.3">
      <c r="A30" s="12"/>
      <c r="B30" s="12"/>
      <c r="C30" s="12"/>
      <c r="D30" s="1">
        <v>27</v>
      </c>
      <c r="E30" s="5">
        <v>0.36</v>
      </c>
      <c r="F30" s="5">
        <v>0.46300000000000002</v>
      </c>
      <c r="G30" s="5">
        <v>0.57499999999999996</v>
      </c>
      <c r="H30" s="5">
        <v>0.67400000000000004</v>
      </c>
      <c r="I30" s="5">
        <v>0.76200000000000001</v>
      </c>
      <c r="J30" s="5">
        <v>0.83299999999999996</v>
      </c>
      <c r="K30" s="5">
        <v>0.89500000000000002</v>
      </c>
      <c r="L30" s="5">
        <v>0.94699999999999995</v>
      </c>
      <c r="M30" s="5">
        <v>0.99399999999999999</v>
      </c>
      <c r="N30" s="5">
        <v>1.0249999999999999</v>
      </c>
      <c r="O30" s="5">
        <v>1.0529999999999999</v>
      </c>
      <c r="P30" s="5">
        <v>1.071</v>
      </c>
      <c r="Q30" s="5">
        <v>1.0880000000000001</v>
      </c>
      <c r="R30" s="5">
        <v>1.109</v>
      </c>
      <c r="S30" s="5">
        <v>1.127</v>
      </c>
      <c r="T30" s="5">
        <v>1.135</v>
      </c>
      <c r="U30" s="5">
        <v>1.141</v>
      </c>
      <c r="V30" s="5">
        <v>1.1459999999999999</v>
      </c>
      <c r="W30" s="5">
        <v>1.147</v>
      </c>
      <c r="X30" s="5">
        <v>1.1559999999999999</v>
      </c>
      <c r="Y30" s="5">
        <v>1.155</v>
      </c>
      <c r="Z30" s="5">
        <v>1.1719999999999999</v>
      </c>
      <c r="AA30" s="5">
        <v>1.175</v>
      </c>
      <c r="AB30" s="5">
        <v>1.161</v>
      </c>
      <c r="AC30" s="5">
        <v>1.1910000000000001</v>
      </c>
      <c r="AD30" s="5">
        <v>29.349</v>
      </c>
    </row>
    <row r="31" spans="1:30" x14ac:dyDescent="0.3">
      <c r="A31" s="12"/>
      <c r="B31" s="12"/>
      <c r="C31" s="12"/>
      <c r="D31" s="1">
        <v>28</v>
      </c>
      <c r="E31" s="5">
        <v>0.36899999999999999</v>
      </c>
      <c r="F31" s="5">
        <v>0.48599999999999999</v>
      </c>
      <c r="G31" s="5">
        <v>0.59499999999999997</v>
      </c>
      <c r="H31" s="5">
        <v>0.69299999999999995</v>
      </c>
      <c r="I31" s="5">
        <v>0.77100000000000002</v>
      </c>
      <c r="J31" s="5">
        <v>0.83699999999999997</v>
      </c>
      <c r="K31" s="5">
        <v>0.90100000000000002</v>
      </c>
      <c r="L31" s="5">
        <v>0.94899999999999995</v>
      </c>
      <c r="M31" s="5">
        <v>0.995</v>
      </c>
      <c r="N31" s="5">
        <v>1.0229999999999999</v>
      </c>
      <c r="O31" s="5">
        <v>1.05</v>
      </c>
      <c r="P31" s="5">
        <v>1.0760000000000001</v>
      </c>
      <c r="Q31" s="5">
        <v>1.097</v>
      </c>
      <c r="R31" s="5">
        <v>1.1140000000000001</v>
      </c>
      <c r="S31" s="5">
        <v>1.125</v>
      </c>
      <c r="T31" s="5">
        <v>1.145</v>
      </c>
      <c r="U31" s="5">
        <v>1.147</v>
      </c>
      <c r="V31" s="5">
        <v>1.151</v>
      </c>
      <c r="W31" s="5">
        <v>1.1539999999999999</v>
      </c>
      <c r="X31" s="5">
        <v>1.155</v>
      </c>
      <c r="Y31" s="5">
        <v>1.1559999999999999</v>
      </c>
      <c r="Z31" s="5">
        <v>1.157</v>
      </c>
      <c r="AA31" s="5">
        <v>1.169</v>
      </c>
      <c r="AB31" s="5">
        <v>1.175</v>
      </c>
      <c r="AC31" s="5">
        <v>1.1890000000000001</v>
      </c>
      <c r="AD31" s="5">
        <v>29.239000000000001</v>
      </c>
    </row>
    <row r="32" spans="1:30" x14ac:dyDescent="0.3">
      <c r="A32" s="12"/>
      <c r="B32" s="12"/>
      <c r="C32" s="12"/>
      <c r="D32" s="1">
        <v>29</v>
      </c>
      <c r="E32" s="5">
        <v>0.34899999999999998</v>
      </c>
      <c r="F32" s="5">
        <v>0.45400000000000001</v>
      </c>
      <c r="G32" s="5">
        <v>0.57399999999999995</v>
      </c>
      <c r="H32" s="5">
        <v>0.67</v>
      </c>
      <c r="I32" s="5">
        <v>0.754</v>
      </c>
      <c r="J32" s="5">
        <v>0.83899999999999997</v>
      </c>
      <c r="K32" s="5">
        <v>0.89100000000000001</v>
      </c>
      <c r="L32" s="5">
        <v>0.95</v>
      </c>
      <c r="M32" s="5">
        <v>0.99</v>
      </c>
      <c r="N32" s="5">
        <v>1.018</v>
      </c>
      <c r="O32" s="5">
        <v>1.052</v>
      </c>
      <c r="P32" s="5">
        <v>1.0980000000000001</v>
      </c>
      <c r="Q32" s="5">
        <v>1.0920000000000001</v>
      </c>
      <c r="R32" s="5">
        <v>1.1100000000000001</v>
      </c>
      <c r="S32" s="5">
        <v>1.1200000000000001</v>
      </c>
      <c r="T32" s="5">
        <v>1.1319999999999999</v>
      </c>
      <c r="U32" s="5">
        <v>1.143</v>
      </c>
      <c r="V32" s="5">
        <v>1.1499999999999999</v>
      </c>
      <c r="W32" s="5">
        <v>1.1439999999999999</v>
      </c>
      <c r="X32" s="5">
        <v>1.1479999999999999</v>
      </c>
      <c r="Y32" s="5">
        <v>1.167</v>
      </c>
      <c r="Z32" s="5">
        <v>1.1910000000000001</v>
      </c>
      <c r="AA32" s="5">
        <v>1.1739999999999999</v>
      </c>
      <c r="AB32" s="5">
        <v>1.159</v>
      </c>
      <c r="AC32" s="5">
        <v>1.2</v>
      </c>
      <c r="AD32" s="5">
        <v>29.212</v>
      </c>
    </row>
    <row r="33" spans="1:30" x14ac:dyDescent="0.3">
      <c r="A33" s="12"/>
      <c r="B33" s="12"/>
      <c r="C33" s="12"/>
      <c r="D33" s="1">
        <v>30</v>
      </c>
      <c r="E33" s="5">
        <v>0.34499999999999997</v>
      </c>
      <c r="F33" s="5">
        <v>0.45800000000000002</v>
      </c>
      <c r="G33" s="5">
        <v>0.56100000000000005</v>
      </c>
      <c r="H33" s="5">
        <v>0.67</v>
      </c>
      <c r="I33" s="5">
        <v>0.749</v>
      </c>
      <c r="J33" s="5">
        <v>0.83799999999999997</v>
      </c>
      <c r="K33" s="5">
        <v>0.89</v>
      </c>
      <c r="L33" s="5">
        <v>0.94099999999999995</v>
      </c>
      <c r="M33" s="5">
        <v>0.99099999999999999</v>
      </c>
      <c r="N33" s="5">
        <v>1.02</v>
      </c>
      <c r="O33" s="5">
        <v>1.0469999999999999</v>
      </c>
      <c r="P33" s="5">
        <v>1.071</v>
      </c>
      <c r="Q33" s="5">
        <v>1.0960000000000001</v>
      </c>
      <c r="R33" s="5">
        <v>1.109</v>
      </c>
      <c r="S33" s="5">
        <v>1.1220000000000001</v>
      </c>
      <c r="T33" s="5">
        <v>1.1459999999999999</v>
      </c>
      <c r="U33" s="5">
        <v>1.157</v>
      </c>
      <c r="V33" s="5">
        <v>1.153</v>
      </c>
      <c r="W33" s="5">
        <v>1.157</v>
      </c>
      <c r="X33" s="5">
        <v>1.165</v>
      </c>
      <c r="Y33" s="5">
        <v>1.159</v>
      </c>
      <c r="Z33" s="5">
        <v>1.175</v>
      </c>
      <c r="AA33" s="5">
        <v>1.173</v>
      </c>
      <c r="AB33" s="5">
        <v>1.1659999999999999</v>
      </c>
      <c r="AC33" s="5">
        <v>1.1950000000000001</v>
      </c>
      <c r="AD33" s="5">
        <v>29.295999999999999</v>
      </c>
    </row>
    <row r="34" spans="1:30" x14ac:dyDescent="0.3">
      <c r="A34" s="12"/>
      <c r="B34" s="12"/>
      <c r="C34" s="12"/>
      <c r="D34" s="1">
        <v>31</v>
      </c>
      <c r="E34" s="5">
        <v>0.36799999999999999</v>
      </c>
      <c r="F34" s="5">
        <v>0.46700000000000003</v>
      </c>
      <c r="G34" s="5">
        <v>0.57299999999999995</v>
      </c>
      <c r="H34" s="5">
        <v>0.67</v>
      </c>
      <c r="I34" s="5">
        <v>0.75700000000000001</v>
      </c>
      <c r="J34" s="5">
        <v>0.83399999999999996</v>
      </c>
      <c r="K34" s="5">
        <v>0.89600000000000002</v>
      </c>
      <c r="L34" s="5">
        <v>0.95599999999999996</v>
      </c>
      <c r="M34" s="5">
        <v>1.008</v>
      </c>
      <c r="N34" s="5">
        <v>1.0309999999999999</v>
      </c>
      <c r="O34" s="5">
        <v>1.0740000000000001</v>
      </c>
      <c r="P34" s="5">
        <v>1.0820000000000001</v>
      </c>
      <c r="Q34" s="5">
        <v>1.1020000000000001</v>
      </c>
      <c r="R34" s="5">
        <v>1.1220000000000001</v>
      </c>
      <c r="S34" s="5">
        <v>1.1359999999999999</v>
      </c>
      <c r="T34" s="5">
        <v>1.1399999999999999</v>
      </c>
      <c r="U34" s="5">
        <v>1.143</v>
      </c>
      <c r="V34" s="5">
        <v>1.1499999999999999</v>
      </c>
      <c r="W34" s="5">
        <v>1.1479999999999999</v>
      </c>
      <c r="X34" s="5">
        <v>1.1539999999999999</v>
      </c>
      <c r="Y34" s="5">
        <v>1.1459999999999999</v>
      </c>
      <c r="Z34" s="5">
        <v>1.1639999999999999</v>
      </c>
      <c r="AA34" s="5">
        <v>1.1599999999999999</v>
      </c>
      <c r="AB34" s="5">
        <v>1.163</v>
      </c>
      <c r="AC34" s="5">
        <v>1.171</v>
      </c>
      <c r="AD34" s="5">
        <v>29.193999999999999</v>
      </c>
    </row>
    <row r="35" spans="1:30" x14ac:dyDescent="0.3">
      <c r="A35" s="12"/>
      <c r="B35" s="12"/>
      <c r="C35" s="12"/>
      <c r="D35" s="1">
        <v>32</v>
      </c>
      <c r="E35" s="5">
        <v>0.34300000000000003</v>
      </c>
      <c r="F35" s="5">
        <v>0.45500000000000002</v>
      </c>
      <c r="G35" s="5">
        <v>0.56200000000000006</v>
      </c>
      <c r="H35" s="5">
        <v>0.66200000000000003</v>
      </c>
      <c r="I35" s="5">
        <v>0.748</v>
      </c>
      <c r="J35" s="5">
        <v>0.83599999999999997</v>
      </c>
      <c r="K35" s="5">
        <v>0.88800000000000001</v>
      </c>
      <c r="L35" s="5">
        <v>0.94899999999999995</v>
      </c>
      <c r="M35" s="5">
        <v>0.99</v>
      </c>
      <c r="N35" s="5">
        <v>1.0169999999999999</v>
      </c>
      <c r="O35" s="5">
        <v>1.048</v>
      </c>
      <c r="P35" s="5">
        <v>1.0660000000000001</v>
      </c>
      <c r="Q35" s="5">
        <v>1.075</v>
      </c>
      <c r="R35" s="5">
        <v>1.101</v>
      </c>
      <c r="S35" s="5">
        <v>1.1220000000000001</v>
      </c>
      <c r="T35" s="5">
        <v>1.135</v>
      </c>
      <c r="U35" s="5">
        <v>1.1459999999999999</v>
      </c>
      <c r="V35" s="5">
        <v>1.143</v>
      </c>
      <c r="W35" s="5">
        <v>1.149</v>
      </c>
      <c r="X35" s="5">
        <v>1.1479999999999999</v>
      </c>
      <c r="Y35" s="5">
        <v>1.1519999999999999</v>
      </c>
      <c r="Z35" s="5">
        <v>1.1519999999999999</v>
      </c>
      <c r="AA35" s="5">
        <v>1.171</v>
      </c>
      <c r="AB35" s="5">
        <v>1.163</v>
      </c>
      <c r="AC35" s="5">
        <v>1.1599999999999999</v>
      </c>
      <c r="AD35" s="5">
        <v>29.239000000000001</v>
      </c>
    </row>
    <row r="36" spans="1:30" x14ac:dyDescent="0.3">
      <c r="A36" s="12"/>
      <c r="B36" s="12"/>
      <c r="C36" s="12"/>
      <c r="D36" s="1">
        <v>33</v>
      </c>
      <c r="E36" s="5">
        <v>0.371</v>
      </c>
      <c r="F36" s="5">
        <v>0.46400000000000002</v>
      </c>
      <c r="G36" s="5">
        <v>0.57299999999999995</v>
      </c>
      <c r="H36" s="5">
        <v>0.67</v>
      </c>
      <c r="I36" s="5">
        <v>0.75700000000000001</v>
      </c>
      <c r="J36" s="5">
        <v>0.83299999999999996</v>
      </c>
      <c r="K36" s="5">
        <v>0.89800000000000002</v>
      </c>
      <c r="L36" s="5">
        <v>0.95299999999999996</v>
      </c>
      <c r="M36" s="5">
        <v>1</v>
      </c>
      <c r="N36" s="5">
        <v>1.0269999999999999</v>
      </c>
      <c r="O36" s="5">
        <v>1.0529999999999999</v>
      </c>
      <c r="P36" s="5">
        <v>1.0780000000000001</v>
      </c>
      <c r="Q36" s="5">
        <v>1.0940000000000001</v>
      </c>
      <c r="R36" s="5">
        <v>1.1120000000000001</v>
      </c>
      <c r="S36" s="5">
        <v>1.129</v>
      </c>
      <c r="T36" s="5">
        <v>1.1479999999999999</v>
      </c>
      <c r="U36" s="5">
        <v>1.155</v>
      </c>
      <c r="V36" s="5">
        <v>1.167</v>
      </c>
      <c r="W36" s="5">
        <v>1.1479999999999999</v>
      </c>
      <c r="X36" s="5">
        <v>1.1479999999999999</v>
      </c>
      <c r="Y36" s="5">
        <v>1.1459999999999999</v>
      </c>
      <c r="Z36" s="5">
        <v>1.1579999999999999</v>
      </c>
      <c r="AA36" s="5">
        <v>1.17</v>
      </c>
      <c r="AB36" s="5">
        <v>1.1579999999999999</v>
      </c>
      <c r="AC36" s="5">
        <v>1.1910000000000001</v>
      </c>
      <c r="AD36" s="5">
        <v>29.404</v>
      </c>
    </row>
    <row r="37" spans="1:30" x14ac:dyDescent="0.3">
      <c r="A37" s="12"/>
      <c r="B37" s="12"/>
      <c r="C37" s="12"/>
      <c r="D37" s="1">
        <v>34</v>
      </c>
      <c r="E37" s="5">
        <v>0.34100000000000003</v>
      </c>
      <c r="F37" s="5">
        <v>0.44500000000000001</v>
      </c>
      <c r="G37" s="5">
        <v>0.55700000000000005</v>
      </c>
      <c r="H37" s="5">
        <v>0.65500000000000003</v>
      </c>
      <c r="I37" s="5">
        <v>0.748</v>
      </c>
      <c r="J37" s="5">
        <v>0.83099999999999996</v>
      </c>
      <c r="K37" s="5">
        <v>0.88800000000000001</v>
      </c>
      <c r="L37" s="5">
        <v>0.93899999999999995</v>
      </c>
      <c r="M37" s="5">
        <v>0.997</v>
      </c>
      <c r="N37" s="5">
        <v>1.0149999999999999</v>
      </c>
      <c r="O37" s="5">
        <v>1.046</v>
      </c>
      <c r="P37" s="5">
        <v>1.0720000000000001</v>
      </c>
      <c r="Q37" s="5">
        <v>1.097</v>
      </c>
      <c r="R37" s="5">
        <v>1.103</v>
      </c>
      <c r="S37" s="5">
        <v>1.1180000000000001</v>
      </c>
      <c r="T37" s="5">
        <v>1.131</v>
      </c>
      <c r="U37" s="5">
        <v>1.1359999999999999</v>
      </c>
      <c r="V37" s="5">
        <v>1.1379999999999999</v>
      </c>
      <c r="W37" s="5">
        <v>1.1439999999999999</v>
      </c>
      <c r="X37" s="5">
        <v>1.1379999999999999</v>
      </c>
      <c r="Y37" s="5">
        <v>1.1339999999999999</v>
      </c>
      <c r="Z37" s="5">
        <v>1.1339999999999999</v>
      </c>
      <c r="AA37" s="5">
        <v>1.1339999999999999</v>
      </c>
      <c r="AB37" s="5">
        <v>1.139</v>
      </c>
      <c r="AC37" s="5">
        <v>1.1339999999999999</v>
      </c>
      <c r="AD37" s="5">
        <v>29.259</v>
      </c>
    </row>
    <row r="38" spans="1:30" x14ac:dyDescent="0.3">
      <c r="A38" s="12"/>
      <c r="B38" s="12"/>
      <c r="C38" s="12"/>
      <c r="D38" s="1">
        <v>35</v>
      </c>
      <c r="E38" s="5">
        <v>0.35499999999999998</v>
      </c>
      <c r="F38" s="5">
        <v>0.46400000000000002</v>
      </c>
      <c r="G38" s="5">
        <v>0.57799999999999996</v>
      </c>
      <c r="H38" s="5">
        <v>0.66700000000000004</v>
      </c>
      <c r="I38" s="5">
        <v>0.752</v>
      </c>
      <c r="J38" s="5">
        <v>0.83599999999999997</v>
      </c>
      <c r="K38" s="5">
        <v>0.88700000000000001</v>
      </c>
      <c r="L38" s="5">
        <v>0.94499999999999995</v>
      </c>
      <c r="M38" s="5">
        <v>0.996</v>
      </c>
      <c r="N38" s="5">
        <v>1.028</v>
      </c>
      <c r="O38" s="5">
        <v>1.0469999999999999</v>
      </c>
      <c r="P38" s="5">
        <v>1.081</v>
      </c>
      <c r="Q38" s="5">
        <v>1.091</v>
      </c>
      <c r="R38" s="5">
        <v>1.121</v>
      </c>
      <c r="S38" s="5">
        <v>1.1240000000000001</v>
      </c>
      <c r="T38" s="5">
        <v>1.1479999999999999</v>
      </c>
      <c r="U38" s="5">
        <v>1.151</v>
      </c>
      <c r="V38" s="5">
        <v>1.163</v>
      </c>
      <c r="W38" s="5">
        <v>1.147</v>
      </c>
      <c r="X38" s="5">
        <v>1.149</v>
      </c>
      <c r="Y38" s="5">
        <v>1.1639999999999999</v>
      </c>
      <c r="Z38" s="5">
        <v>1.167</v>
      </c>
      <c r="AA38" s="5">
        <v>1.163</v>
      </c>
      <c r="AB38" s="5">
        <v>1.159</v>
      </c>
      <c r="AC38" s="5">
        <v>1.155</v>
      </c>
      <c r="AD38" s="5">
        <v>29.295999999999999</v>
      </c>
    </row>
    <row r="39" spans="1:30" x14ac:dyDescent="0.3">
      <c r="A39" s="12"/>
      <c r="B39" s="12"/>
      <c r="C39" s="12"/>
      <c r="D39" s="1">
        <v>36</v>
      </c>
      <c r="E39" s="5">
        <v>0.372</v>
      </c>
      <c r="F39" s="5">
        <v>0.46800000000000003</v>
      </c>
      <c r="G39" s="5">
        <v>0.57799999999999996</v>
      </c>
      <c r="H39" s="5">
        <v>0.68</v>
      </c>
      <c r="I39" s="5">
        <v>0.76500000000000001</v>
      </c>
      <c r="J39" s="5">
        <v>0.83799999999999997</v>
      </c>
      <c r="K39" s="5">
        <v>0.89800000000000002</v>
      </c>
      <c r="L39" s="5">
        <v>0.95299999999999996</v>
      </c>
      <c r="M39" s="5">
        <v>0.995</v>
      </c>
      <c r="N39" s="5">
        <v>1.0289999999999999</v>
      </c>
      <c r="O39" s="5">
        <v>1.0609999999999999</v>
      </c>
      <c r="P39" s="5">
        <v>1.071</v>
      </c>
      <c r="Q39" s="5">
        <v>1.087</v>
      </c>
      <c r="R39" s="5">
        <v>1.109</v>
      </c>
      <c r="S39" s="5">
        <v>1.123</v>
      </c>
      <c r="T39" s="5">
        <v>1.1339999999999999</v>
      </c>
      <c r="U39" s="5">
        <v>1.143</v>
      </c>
      <c r="V39" s="5">
        <v>1.143</v>
      </c>
      <c r="W39" s="5">
        <v>1.143</v>
      </c>
      <c r="X39" s="5">
        <v>1.149</v>
      </c>
      <c r="Y39" s="5">
        <v>1.1499999999999999</v>
      </c>
      <c r="Z39" s="5">
        <v>1.1739999999999999</v>
      </c>
      <c r="AA39" s="5">
        <v>1.2090000000000001</v>
      </c>
      <c r="AB39" s="5">
        <v>1.1499999999999999</v>
      </c>
      <c r="AC39" s="5">
        <v>1.159</v>
      </c>
      <c r="AD39" s="5">
        <v>29.204000000000001</v>
      </c>
    </row>
    <row r="40" spans="1:30" x14ac:dyDescent="0.3">
      <c r="A40" s="12"/>
      <c r="B40" s="12"/>
      <c r="C40" s="12"/>
      <c r="D40" s="1">
        <v>37</v>
      </c>
      <c r="E40" s="5">
        <v>0.34799999999999998</v>
      </c>
      <c r="F40" s="5">
        <v>0.45500000000000002</v>
      </c>
      <c r="G40" s="5">
        <v>0.56200000000000006</v>
      </c>
      <c r="H40" s="5">
        <v>0.66</v>
      </c>
      <c r="I40" s="5">
        <v>0.754</v>
      </c>
      <c r="J40" s="5">
        <v>0.82899999999999996</v>
      </c>
      <c r="K40" s="5">
        <v>0.89100000000000001</v>
      </c>
      <c r="L40" s="5">
        <v>0.95299999999999996</v>
      </c>
      <c r="M40" s="5">
        <v>1</v>
      </c>
      <c r="N40" s="5">
        <v>1.0289999999999999</v>
      </c>
      <c r="O40" s="5">
        <v>1.0549999999999999</v>
      </c>
      <c r="P40" s="5">
        <v>1.075</v>
      </c>
      <c r="Q40" s="5">
        <v>1.093</v>
      </c>
      <c r="R40" s="5">
        <v>1.1080000000000001</v>
      </c>
      <c r="S40" s="5">
        <v>1.1240000000000001</v>
      </c>
      <c r="T40" s="5">
        <v>1.135</v>
      </c>
      <c r="U40" s="5">
        <v>1.1419999999999999</v>
      </c>
      <c r="V40" s="5">
        <v>1.165</v>
      </c>
      <c r="W40" s="5">
        <v>1.173</v>
      </c>
      <c r="X40" s="5">
        <v>1.171</v>
      </c>
      <c r="Y40" s="5">
        <v>1.1779999999999999</v>
      </c>
      <c r="Z40" s="5">
        <v>1.171</v>
      </c>
      <c r="AA40" s="5">
        <v>1.1950000000000001</v>
      </c>
      <c r="AB40" s="5">
        <v>1.1830000000000001</v>
      </c>
      <c r="AC40" s="5">
        <v>1.1850000000000001</v>
      </c>
      <c r="AD40" s="5">
        <v>29.305</v>
      </c>
    </row>
    <row r="41" spans="1:30" x14ac:dyDescent="0.3">
      <c r="A41" s="12"/>
      <c r="B41" s="12"/>
      <c r="C41" s="12"/>
      <c r="D41" s="1">
        <v>38</v>
      </c>
      <c r="E41" s="5">
        <v>0.34799999999999998</v>
      </c>
      <c r="F41" s="5">
        <v>0.45700000000000002</v>
      </c>
      <c r="G41" s="5">
        <v>0.56699999999999995</v>
      </c>
      <c r="H41" s="5">
        <v>0.66600000000000004</v>
      </c>
      <c r="I41" s="5">
        <v>0.75700000000000001</v>
      </c>
      <c r="J41" s="5">
        <v>0.82899999999999996</v>
      </c>
      <c r="K41" s="5">
        <v>0.88800000000000001</v>
      </c>
      <c r="L41" s="5">
        <v>0.94899999999999995</v>
      </c>
      <c r="M41" s="5">
        <v>0.997</v>
      </c>
      <c r="N41" s="5">
        <v>1.022</v>
      </c>
      <c r="O41" s="5">
        <v>1.0509999999999999</v>
      </c>
      <c r="P41" s="5">
        <v>1.075</v>
      </c>
      <c r="Q41" s="5">
        <v>1.0940000000000001</v>
      </c>
      <c r="R41" s="5">
        <v>1.109</v>
      </c>
      <c r="S41" s="5">
        <v>1.1200000000000001</v>
      </c>
      <c r="T41" s="5">
        <v>1.1359999999999999</v>
      </c>
      <c r="U41" s="5">
        <v>1.1399999999999999</v>
      </c>
      <c r="V41" s="5">
        <v>1.1459999999999999</v>
      </c>
      <c r="W41" s="5">
        <v>1.147</v>
      </c>
      <c r="X41" s="5">
        <v>1.1499999999999999</v>
      </c>
      <c r="Y41" s="5">
        <v>1.1479999999999999</v>
      </c>
      <c r="Z41" s="5">
        <v>1.161</v>
      </c>
      <c r="AA41" s="5">
        <v>1.17</v>
      </c>
      <c r="AB41" s="5">
        <v>1.2809999999999999</v>
      </c>
      <c r="AC41" s="5">
        <v>1.264</v>
      </c>
      <c r="AD41" s="5">
        <v>29.413</v>
      </c>
    </row>
    <row r="42" spans="1:30" x14ac:dyDescent="0.3">
      <c r="A42" s="12"/>
      <c r="B42" s="12"/>
      <c r="C42" s="12"/>
      <c r="D42" s="1">
        <v>39</v>
      </c>
      <c r="E42" s="5">
        <v>0.33900000000000002</v>
      </c>
      <c r="F42" s="5">
        <v>0.45400000000000001</v>
      </c>
      <c r="G42" s="5">
        <v>0.56599999999999995</v>
      </c>
      <c r="H42" s="5">
        <v>0.67</v>
      </c>
      <c r="I42" s="5">
        <v>0.75600000000000001</v>
      </c>
      <c r="J42" s="5">
        <v>0.83499999999999996</v>
      </c>
      <c r="K42" s="5">
        <v>0.89900000000000002</v>
      </c>
      <c r="L42" s="5">
        <v>0.94899999999999995</v>
      </c>
      <c r="M42" s="5">
        <v>0.997</v>
      </c>
      <c r="N42" s="5">
        <v>1.0269999999999999</v>
      </c>
      <c r="O42" s="5">
        <v>1.048</v>
      </c>
      <c r="P42" s="5">
        <v>1.0780000000000001</v>
      </c>
      <c r="Q42" s="5">
        <v>1.0900000000000001</v>
      </c>
      <c r="R42" s="5">
        <v>1.1120000000000001</v>
      </c>
      <c r="S42" s="5">
        <v>1.125</v>
      </c>
      <c r="T42" s="5">
        <v>1.1339999999999999</v>
      </c>
      <c r="U42" s="5">
        <v>1.1499999999999999</v>
      </c>
      <c r="V42" s="5">
        <v>1.1559999999999999</v>
      </c>
      <c r="W42" s="5">
        <v>1.1499999999999999</v>
      </c>
      <c r="X42" s="5">
        <v>1.1439999999999999</v>
      </c>
      <c r="Y42" s="5">
        <v>1.149</v>
      </c>
      <c r="Z42" s="5">
        <v>1.157</v>
      </c>
      <c r="AA42" s="5">
        <v>1.1679999999999999</v>
      </c>
      <c r="AB42" s="5">
        <v>1.1679999999999999</v>
      </c>
      <c r="AC42" s="5">
        <v>1.175</v>
      </c>
      <c r="AD42" s="5">
        <v>29.337</v>
      </c>
    </row>
    <row r="43" spans="1:30" x14ac:dyDescent="0.3">
      <c r="A43" s="12"/>
      <c r="B43" s="12"/>
      <c r="C43" s="12"/>
      <c r="D43" s="1">
        <v>40</v>
      </c>
      <c r="E43" s="5">
        <v>0.35499999999999998</v>
      </c>
      <c r="F43" s="5">
        <v>0.46300000000000002</v>
      </c>
      <c r="G43" s="5">
        <v>0.57399999999999995</v>
      </c>
      <c r="H43" s="5">
        <v>0.67400000000000004</v>
      </c>
      <c r="I43" s="5">
        <v>0.76200000000000001</v>
      </c>
      <c r="J43" s="5">
        <v>0.83599999999999997</v>
      </c>
      <c r="K43" s="5">
        <v>0.89800000000000002</v>
      </c>
      <c r="L43" s="5">
        <v>0.95599999999999996</v>
      </c>
      <c r="M43" s="5">
        <v>0.999</v>
      </c>
      <c r="N43" s="5">
        <v>1.028</v>
      </c>
      <c r="O43" s="5">
        <v>1.056</v>
      </c>
      <c r="P43" s="5">
        <v>1.08</v>
      </c>
      <c r="Q43" s="5">
        <v>1.097</v>
      </c>
      <c r="R43" s="5">
        <v>1.1120000000000001</v>
      </c>
      <c r="S43" s="5">
        <v>1.121</v>
      </c>
      <c r="T43" s="5">
        <v>1.139</v>
      </c>
      <c r="U43" s="5">
        <v>1.139</v>
      </c>
      <c r="V43" s="5">
        <v>1.139</v>
      </c>
      <c r="W43" s="5">
        <v>1.1459999999999999</v>
      </c>
      <c r="X43" s="5">
        <v>1.1519999999999999</v>
      </c>
      <c r="Y43" s="5">
        <v>1.151</v>
      </c>
      <c r="Z43" s="5">
        <v>1.1639999999999999</v>
      </c>
      <c r="AA43" s="5">
        <v>1.165</v>
      </c>
      <c r="AB43" s="5">
        <v>1.2509999999999999</v>
      </c>
      <c r="AC43" s="5">
        <v>1.1990000000000001</v>
      </c>
      <c r="AD43" s="5">
        <v>29.393999999999998</v>
      </c>
    </row>
    <row r="44" spans="1:30" x14ac:dyDescent="0.3">
      <c r="A44" s="12"/>
      <c r="B44" s="12"/>
      <c r="C44" s="12"/>
      <c r="D44" s="1">
        <v>41</v>
      </c>
      <c r="E44" s="5">
        <v>0.35</v>
      </c>
      <c r="F44" s="5">
        <v>0.45600000000000002</v>
      </c>
      <c r="G44" s="5">
        <v>0.57099999999999995</v>
      </c>
      <c r="H44" s="5">
        <v>0.66800000000000004</v>
      </c>
      <c r="I44" s="5">
        <v>0.755</v>
      </c>
      <c r="J44" s="5">
        <v>0.83599999999999997</v>
      </c>
      <c r="K44" s="5">
        <v>0.89300000000000002</v>
      </c>
      <c r="L44" s="5">
        <v>0.94699999999999995</v>
      </c>
      <c r="M44" s="5">
        <v>0.99299999999999999</v>
      </c>
      <c r="N44" s="5">
        <v>1.024</v>
      </c>
      <c r="O44" s="5">
        <v>1.0529999999999999</v>
      </c>
      <c r="P44" s="5">
        <v>1.0820000000000001</v>
      </c>
      <c r="Q44" s="5">
        <v>1.0960000000000001</v>
      </c>
      <c r="R44" s="5">
        <v>1.1160000000000001</v>
      </c>
      <c r="S44" s="5">
        <v>1.137</v>
      </c>
      <c r="T44" s="5">
        <v>1.145</v>
      </c>
      <c r="U44" s="5">
        <v>1.1970000000000001</v>
      </c>
      <c r="V44" s="5">
        <v>1.1499999999999999</v>
      </c>
      <c r="W44" s="5">
        <v>1.1579999999999999</v>
      </c>
      <c r="X44" s="5">
        <v>1.145</v>
      </c>
      <c r="Y44" s="5">
        <v>1.167</v>
      </c>
      <c r="Z44" s="5">
        <v>1.1639999999999999</v>
      </c>
      <c r="AA44" s="5">
        <v>1.1679999999999999</v>
      </c>
      <c r="AB44" s="5">
        <v>1.173</v>
      </c>
      <c r="AC44" s="5">
        <v>1.181</v>
      </c>
      <c r="AD44" s="5">
        <v>29.329000000000001</v>
      </c>
    </row>
    <row r="45" spans="1:30" x14ac:dyDescent="0.3">
      <c r="A45" s="12"/>
      <c r="B45" s="12"/>
      <c r="C45" s="12"/>
      <c r="D45" s="1">
        <v>42</v>
      </c>
      <c r="E45" s="5">
        <v>0.34200000000000003</v>
      </c>
      <c r="F45" s="5">
        <v>0.45400000000000001</v>
      </c>
      <c r="G45" s="5">
        <v>0.56799999999999995</v>
      </c>
      <c r="H45" s="5">
        <v>0.66200000000000003</v>
      </c>
      <c r="I45" s="5">
        <v>0.751</v>
      </c>
      <c r="J45" s="5">
        <v>0.83499999999999996</v>
      </c>
      <c r="K45" s="5">
        <v>0.89</v>
      </c>
      <c r="L45" s="5">
        <v>0.94599999999999995</v>
      </c>
      <c r="M45" s="5">
        <v>0.98799999999999999</v>
      </c>
      <c r="N45" s="5">
        <v>1.0209999999999999</v>
      </c>
      <c r="O45" s="5">
        <v>1.0449999999999999</v>
      </c>
      <c r="P45" s="5">
        <v>1.0740000000000001</v>
      </c>
      <c r="Q45" s="5">
        <v>1.0920000000000001</v>
      </c>
      <c r="R45" s="5">
        <v>1.1120000000000001</v>
      </c>
      <c r="S45" s="5">
        <v>1.1180000000000001</v>
      </c>
      <c r="T45" s="5">
        <v>1.153</v>
      </c>
      <c r="U45" s="5">
        <v>1.1399999999999999</v>
      </c>
      <c r="V45" s="5">
        <v>1.141</v>
      </c>
      <c r="W45" s="5">
        <v>1.1419999999999999</v>
      </c>
      <c r="X45" s="5">
        <v>1.1519999999999999</v>
      </c>
      <c r="Y45" s="5">
        <v>1.1479999999999999</v>
      </c>
      <c r="Z45" s="5">
        <v>1.1479999999999999</v>
      </c>
      <c r="AA45" s="5">
        <v>1.1479999999999999</v>
      </c>
      <c r="AB45" s="5">
        <v>1.165</v>
      </c>
      <c r="AC45" s="5">
        <v>1.1559999999999999</v>
      </c>
      <c r="AD45" s="5">
        <v>29.068999999999999</v>
      </c>
    </row>
    <row r="46" spans="1:30" x14ac:dyDescent="0.3">
      <c r="A46" s="12"/>
      <c r="B46" s="12"/>
      <c r="C46" s="12"/>
      <c r="D46" s="1">
        <v>43</v>
      </c>
      <c r="E46" s="5">
        <v>0.35099999999999998</v>
      </c>
      <c r="F46" s="5">
        <v>0.46700000000000003</v>
      </c>
      <c r="G46" s="5">
        <v>0.57599999999999996</v>
      </c>
      <c r="H46" s="5">
        <v>0.67700000000000005</v>
      </c>
      <c r="I46" s="5">
        <v>0.76100000000000001</v>
      </c>
      <c r="J46" s="5">
        <v>0.84599999999999997</v>
      </c>
      <c r="K46" s="5">
        <v>0.90600000000000003</v>
      </c>
      <c r="L46" s="5">
        <v>0.95299999999999996</v>
      </c>
      <c r="M46" s="5">
        <v>0.999</v>
      </c>
      <c r="N46" s="5">
        <v>1.032</v>
      </c>
      <c r="O46" s="5">
        <v>1.0549999999999999</v>
      </c>
      <c r="P46" s="5">
        <v>1.08</v>
      </c>
      <c r="Q46" s="5">
        <v>1.0960000000000001</v>
      </c>
      <c r="R46" s="5">
        <v>1.111</v>
      </c>
      <c r="S46" s="5">
        <v>1.123</v>
      </c>
      <c r="T46" s="5">
        <v>1.139</v>
      </c>
      <c r="U46" s="5">
        <v>1.1499999999999999</v>
      </c>
      <c r="V46" s="5">
        <v>1.1659999999999999</v>
      </c>
      <c r="W46" s="5">
        <v>1.1639999999999999</v>
      </c>
      <c r="X46" s="5">
        <v>1.169</v>
      </c>
      <c r="Y46" s="5">
        <v>1.177</v>
      </c>
      <c r="Z46" s="5">
        <v>1.17</v>
      </c>
      <c r="AA46" s="5">
        <v>1.179</v>
      </c>
      <c r="AB46" s="5">
        <v>1.1779999999999999</v>
      </c>
      <c r="AC46" s="5">
        <v>1.1830000000000001</v>
      </c>
      <c r="AD46" s="5">
        <v>29.184000000000001</v>
      </c>
    </row>
    <row r="47" spans="1:30" x14ac:dyDescent="0.3">
      <c r="A47" s="12"/>
      <c r="B47" s="12"/>
      <c r="C47" s="12"/>
      <c r="D47" s="1">
        <v>44</v>
      </c>
      <c r="E47" s="5">
        <v>0.34899999999999998</v>
      </c>
      <c r="F47" s="5">
        <v>0.45600000000000002</v>
      </c>
      <c r="G47" s="5">
        <v>0.57499999999999996</v>
      </c>
      <c r="H47" s="5">
        <v>0.67600000000000005</v>
      </c>
      <c r="I47" s="5">
        <v>0.76100000000000001</v>
      </c>
      <c r="J47" s="5">
        <v>0.84</v>
      </c>
      <c r="K47" s="5">
        <v>0.9</v>
      </c>
      <c r="L47" s="5">
        <v>0.95399999999999996</v>
      </c>
      <c r="M47" s="5">
        <v>0.995</v>
      </c>
      <c r="N47" s="5">
        <v>1.034</v>
      </c>
      <c r="O47" s="5">
        <v>1.0489999999999999</v>
      </c>
      <c r="P47" s="5">
        <v>1.073</v>
      </c>
      <c r="Q47" s="5">
        <v>1.0880000000000001</v>
      </c>
      <c r="R47" s="5">
        <v>1.1080000000000001</v>
      </c>
      <c r="S47" s="5">
        <v>1.121</v>
      </c>
      <c r="T47" s="5">
        <v>1.141</v>
      </c>
      <c r="U47" s="5">
        <v>1.143</v>
      </c>
      <c r="V47" s="5">
        <v>1.141</v>
      </c>
      <c r="W47" s="5">
        <v>1.143</v>
      </c>
      <c r="X47" s="5">
        <v>1.1419999999999999</v>
      </c>
      <c r="Y47" s="5">
        <v>1.1479999999999999</v>
      </c>
      <c r="Z47" s="5">
        <v>1.1579999999999999</v>
      </c>
      <c r="AA47" s="5">
        <v>1.155</v>
      </c>
      <c r="AB47" s="5">
        <v>1.161</v>
      </c>
      <c r="AC47" s="5">
        <v>1.1619999999999999</v>
      </c>
      <c r="AD47" s="5">
        <v>29.222999999999999</v>
      </c>
    </row>
    <row r="48" spans="1:30" x14ac:dyDescent="0.3">
      <c r="A48" s="12"/>
      <c r="B48" s="12"/>
      <c r="C48" s="12"/>
      <c r="D48" s="1">
        <v>45</v>
      </c>
      <c r="E48" s="5">
        <v>0.36099999999999999</v>
      </c>
      <c r="F48" s="5">
        <v>0.46100000000000002</v>
      </c>
      <c r="G48" s="5">
        <v>0.57299999999999995</v>
      </c>
      <c r="H48" s="5">
        <v>0.67400000000000004</v>
      </c>
      <c r="I48" s="5">
        <v>0.75700000000000001</v>
      </c>
      <c r="J48" s="5">
        <v>0.84</v>
      </c>
      <c r="K48" s="5">
        <v>0.89600000000000002</v>
      </c>
      <c r="L48" s="5">
        <v>0.94899999999999995</v>
      </c>
      <c r="M48" s="5">
        <v>0.99399999999999999</v>
      </c>
      <c r="N48" s="5">
        <v>1.026</v>
      </c>
      <c r="O48" s="5">
        <v>1.052</v>
      </c>
      <c r="P48" s="5">
        <v>1.077</v>
      </c>
      <c r="Q48" s="5">
        <v>1.101</v>
      </c>
      <c r="R48" s="5">
        <v>1.117</v>
      </c>
      <c r="S48" s="5">
        <v>1.1299999999999999</v>
      </c>
      <c r="T48" s="5">
        <v>1.145</v>
      </c>
      <c r="U48" s="5">
        <v>1.153</v>
      </c>
      <c r="V48" s="5">
        <v>1.167</v>
      </c>
      <c r="W48" s="5">
        <v>1.1599999999999999</v>
      </c>
      <c r="X48" s="5">
        <v>1.157</v>
      </c>
      <c r="Y48" s="5">
        <v>1.173</v>
      </c>
      <c r="Z48" s="5">
        <v>1.171</v>
      </c>
      <c r="AA48" s="5">
        <v>1.1739999999999999</v>
      </c>
      <c r="AB48" s="5">
        <v>1.1850000000000001</v>
      </c>
      <c r="AC48" s="5">
        <v>1.163</v>
      </c>
      <c r="AD48" s="5">
        <v>29.143999999999998</v>
      </c>
    </row>
    <row r="49" spans="1:30" x14ac:dyDescent="0.3">
      <c r="A49" s="12"/>
      <c r="B49" s="12"/>
      <c r="C49" s="12"/>
      <c r="D49" s="1">
        <v>46</v>
      </c>
      <c r="E49" s="5">
        <v>0.35399999999999998</v>
      </c>
      <c r="F49" s="5">
        <v>0.45900000000000002</v>
      </c>
      <c r="G49" s="5">
        <v>0.56899999999999995</v>
      </c>
      <c r="H49" s="5">
        <v>0.66200000000000003</v>
      </c>
      <c r="I49" s="5">
        <v>0.754</v>
      </c>
      <c r="J49" s="5">
        <v>0.82799999999999996</v>
      </c>
      <c r="K49" s="5">
        <v>0.89100000000000001</v>
      </c>
      <c r="L49" s="5">
        <v>0.94799999999999995</v>
      </c>
      <c r="M49" s="5">
        <v>0.99299999999999999</v>
      </c>
      <c r="N49" s="5">
        <v>1.018</v>
      </c>
      <c r="O49" s="5">
        <v>1.0489999999999999</v>
      </c>
      <c r="P49" s="5">
        <v>1.073</v>
      </c>
      <c r="Q49" s="5">
        <v>1.089</v>
      </c>
      <c r="R49" s="5">
        <v>1.111</v>
      </c>
      <c r="S49" s="5">
        <v>1.1279999999999999</v>
      </c>
      <c r="T49" s="5">
        <v>1.1399999999999999</v>
      </c>
      <c r="U49" s="5">
        <v>1.1499999999999999</v>
      </c>
      <c r="V49" s="5">
        <v>1.1579999999999999</v>
      </c>
      <c r="W49" s="5">
        <v>1.153</v>
      </c>
      <c r="X49" s="5">
        <v>1.1619999999999999</v>
      </c>
      <c r="Y49" s="5">
        <v>1.1759999999999999</v>
      </c>
      <c r="Z49" s="5">
        <v>1.18</v>
      </c>
      <c r="AA49" s="5">
        <v>1.1679999999999999</v>
      </c>
      <c r="AB49" s="5">
        <v>1.169</v>
      </c>
      <c r="AC49" s="5">
        <v>1.181</v>
      </c>
      <c r="AD49" s="5">
        <v>29.413</v>
      </c>
    </row>
    <row r="50" spans="1:30" x14ac:dyDescent="0.3">
      <c r="A50" s="12"/>
      <c r="B50" s="12"/>
      <c r="C50" s="12"/>
      <c r="D50" s="1">
        <v>47</v>
      </c>
      <c r="E50" s="5">
        <v>0.35799999999999998</v>
      </c>
      <c r="F50" s="5">
        <v>0.45800000000000002</v>
      </c>
      <c r="G50" s="5">
        <v>0.57199999999999995</v>
      </c>
      <c r="H50" s="5">
        <v>0.66900000000000004</v>
      </c>
      <c r="I50" s="5">
        <v>0.75600000000000001</v>
      </c>
      <c r="J50" s="5">
        <v>0.83399999999999996</v>
      </c>
      <c r="K50" s="5">
        <v>0.89600000000000002</v>
      </c>
      <c r="L50" s="5">
        <v>0.95</v>
      </c>
      <c r="M50" s="5">
        <v>0.99399999999999999</v>
      </c>
      <c r="N50" s="5">
        <v>1.0249999999999999</v>
      </c>
      <c r="O50" s="5">
        <v>1.054</v>
      </c>
      <c r="P50" s="5">
        <v>1.0760000000000001</v>
      </c>
      <c r="Q50" s="5">
        <v>1.093</v>
      </c>
      <c r="R50" s="5">
        <v>1.113</v>
      </c>
      <c r="S50" s="5">
        <v>1.1299999999999999</v>
      </c>
      <c r="T50" s="5">
        <v>1.1539999999999999</v>
      </c>
      <c r="U50" s="5">
        <v>1.157</v>
      </c>
      <c r="V50" s="5">
        <v>1.1539999999999999</v>
      </c>
      <c r="W50" s="5">
        <v>1.159</v>
      </c>
      <c r="X50" s="5">
        <v>1.175</v>
      </c>
      <c r="Y50" s="5">
        <v>1.1819999999999999</v>
      </c>
      <c r="Z50" s="5">
        <v>1.1830000000000001</v>
      </c>
      <c r="AA50" s="5">
        <v>1.2010000000000001</v>
      </c>
      <c r="AB50" s="5">
        <v>1.1719999999999999</v>
      </c>
      <c r="AC50" s="5">
        <v>1.1850000000000001</v>
      </c>
      <c r="AD50" s="5">
        <v>29.155999999999999</v>
      </c>
    </row>
    <row r="51" spans="1:30" x14ac:dyDescent="0.3">
      <c r="A51" s="12"/>
      <c r="B51" s="12"/>
      <c r="C51" s="12"/>
      <c r="D51" s="1">
        <v>48</v>
      </c>
      <c r="E51" s="5">
        <v>0.36799999999999999</v>
      </c>
      <c r="F51" s="5">
        <v>0.46700000000000003</v>
      </c>
      <c r="G51" s="5">
        <v>0.57699999999999996</v>
      </c>
      <c r="H51" s="5">
        <v>0.66800000000000004</v>
      </c>
      <c r="I51" s="5">
        <v>0.76200000000000001</v>
      </c>
      <c r="J51" s="5">
        <v>0.84499999999999997</v>
      </c>
      <c r="K51" s="5">
        <v>0.89900000000000002</v>
      </c>
      <c r="L51" s="5">
        <v>0.95499999999999996</v>
      </c>
      <c r="M51" s="5">
        <v>0.996</v>
      </c>
      <c r="N51" s="5">
        <v>1.0209999999999999</v>
      </c>
      <c r="O51" s="5">
        <v>1.0569999999999999</v>
      </c>
      <c r="P51" s="5">
        <v>1.0760000000000001</v>
      </c>
      <c r="Q51" s="5">
        <v>1.0920000000000001</v>
      </c>
      <c r="R51" s="5">
        <v>1.1140000000000001</v>
      </c>
      <c r="S51" s="5">
        <v>1.123</v>
      </c>
      <c r="T51" s="5">
        <v>1.141</v>
      </c>
      <c r="U51" s="5">
        <v>1.143</v>
      </c>
      <c r="V51" s="5">
        <v>1.147</v>
      </c>
      <c r="W51" s="5">
        <v>1.1539999999999999</v>
      </c>
      <c r="X51" s="5">
        <v>1.163</v>
      </c>
      <c r="Y51" s="5">
        <v>1.1539999999999999</v>
      </c>
      <c r="Z51" s="5">
        <v>1.157</v>
      </c>
      <c r="AA51" s="5">
        <v>0.108</v>
      </c>
      <c r="AB51" s="5">
        <v>1.169</v>
      </c>
      <c r="AC51" s="5">
        <v>1.19</v>
      </c>
      <c r="AD51" s="5">
        <v>29.292000000000002</v>
      </c>
    </row>
    <row r="52" spans="1:30" x14ac:dyDescent="0.3">
      <c r="A52" s="12"/>
      <c r="B52" s="12"/>
      <c r="C52" s="12"/>
      <c r="D52" s="1">
        <v>49</v>
      </c>
      <c r="E52" s="5">
        <v>0.372</v>
      </c>
      <c r="F52" s="5">
        <v>0.46899999999999997</v>
      </c>
      <c r="G52" s="5">
        <v>0.57999999999999996</v>
      </c>
      <c r="H52" s="5">
        <v>0.68</v>
      </c>
      <c r="I52" s="5">
        <v>0.76300000000000001</v>
      </c>
      <c r="J52" s="5">
        <v>0.84499999999999997</v>
      </c>
      <c r="K52" s="5">
        <v>0.89900000000000002</v>
      </c>
      <c r="L52" s="5">
        <v>0.95499999999999996</v>
      </c>
      <c r="M52" s="5">
        <v>0.99399999999999999</v>
      </c>
      <c r="N52" s="5">
        <v>1.0309999999999999</v>
      </c>
      <c r="O52" s="5">
        <v>1.0649999999999999</v>
      </c>
      <c r="P52" s="5">
        <v>1.0780000000000001</v>
      </c>
      <c r="Q52" s="5">
        <v>0.17599999999999999</v>
      </c>
      <c r="R52" s="5">
        <v>1.1200000000000001</v>
      </c>
      <c r="S52" s="5">
        <v>1.137</v>
      </c>
      <c r="T52" s="5">
        <v>1.1479999999999999</v>
      </c>
      <c r="U52" s="5">
        <v>1.1579999999999999</v>
      </c>
      <c r="V52" s="5">
        <v>1.165</v>
      </c>
      <c r="W52" s="5">
        <v>1.169</v>
      </c>
      <c r="X52" s="5">
        <v>1.1599999999999999</v>
      </c>
      <c r="Y52" s="5">
        <v>1.163</v>
      </c>
      <c r="Z52" s="5">
        <v>1.1639999999999999</v>
      </c>
      <c r="AA52" s="5">
        <v>1.179</v>
      </c>
      <c r="AB52" s="5">
        <v>1.1779999999999999</v>
      </c>
      <c r="AC52" s="5">
        <v>1.1879999999999999</v>
      </c>
      <c r="AD52" s="5">
        <v>29.331</v>
      </c>
    </row>
    <row r="53" spans="1:30" x14ac:dyDescent="0.3">
      <c r="A53" s="12"/>
      <c r="B53" s="12"/>
      <c r="C53" s="12"/>
      <c r="D53" s="1">
        <v>50</v>
      </c>
      <c r="E53" s="5">
        <v>0.36099999999999999</v>
      </c>
      <c r="F53" s="5">
        <v>0.46700000000000003</v>
      </c>
      <c r="G53" s="5">
        <v>0.57999999999999996</v>
      </c>
      <c r="H53" s="5">
        <v>0.68600000000000005</v>
      </c>
      <c r="I53" s="5">
        <v>0.76800000000000002</v>
      </c>
      <c r="J53" s="5">
        <v>0.84299999999999997</v>
      </c>
      <c r="K53" s="5">
        <v>0.90300000000000002</v>
      </c>
      <c r="L53" s="5">
        <v>0.96099999999999997</v>
      </c>
      <c r="M53" s="5">
        <v>1.004</v>
      </c>
      <c r="N53" s="5">
        <v>1.034</v>
      </c>
      <c r="O53" s="5">
        <v>1.0569999999999999</v>
      </c>
      <c r="P53" s="5">
        <v>1.0860000000000001</v>
      </c>
      <c r="Q53" s="5">
        <v>1.1020000000000001</v>
      </c>
      <c r="R53" s="5">
        <v>1.1180000000000001</v>
      </c>
      <c r="S53" s="5">
        <v>1.137</v>
      </c>
      <c r="T53" s="5">
        <v>1.143</v>
      </c>
      <c r="U53" s="5">
        <v>1.1559999999999999</v>
      </c>
      <c r="V53" s="5">
        <v>1.1499999999999999</v>
      </c>
      <c r="W53" s="5">
        <v>1.1499999999999999</v>
      </c>
      <c r="X53" s="5">
        <v>1.1659999999999999</v>
      </c>
      <c r="Y53" s="5">
        <v>1.147</v>
      </c>
      <c r="Z53" s="5">
        <v>1.159</v>
      </c>
      <c r="AA53" s="5">
        <v>1.169</v>
      </c>
      <c r="AB53" s="5">
        <v>1.1890000000000001</v>
      </c>
      <c r="AC53" s="5">
        <v>1.1779999999999999</v>
      </c>
      <c r="AD53" s="5">
        <v>29.242999999999999</v>
      </c>
    </row>
    <row r="54" spans="1:30" x14ac:dyDescent="0.3">
      <c r="A54" s="12"/>
      <c r="B54" s="12"/>
      <c r="C54" s="12"/>
      <c r="D54" s="1">
        <v>51</v>
      </c>
      <c r="E54" s="5">
        <v>0.35399999999999998</v>
      </c>
      <c r="F54" s="5">
        <v>0.46</v>
      </c>
      <c r="G54" s="5">
        <v>0.57599999999999996</v>
      </c>
      <c r="H54" s="5">
        <v>0.66100000000000003</v>
      </c>
      <c r="I54" s="5">
        <v>0.75900000000000001</v>
      </c>
      <c r="J54" s="5">
        <v>0.83899999999999997</v>
      </c>
      <c r="K54" s="5">
        <v>0.89100000000000001</v>
      </c>
      <c r="L54" s="5">
        <v>0.94799999999999995</v>
      </c>
      <c r="M54" s="5">
        <v>0.99099999999999999</v>
      </c>
      <c r="N54" s="5">
        <v>1.022</v>
      </c>
      <c r="O54" s="5">
        <v>1.046</v>
      </c>
      <c r="P54" s="5">
        <v>1.0740000000000001</v>
      </c>
      <c r="Q54" s="5">
        <v>1.097</v>
      </c>
      <c r="R54" s="5">
        <v>1.111</v>
      </c>
      <c r="S54" s="5">
        <v>1.131</v>
      </c>
      <c r="T54" s="5">
        <v>1.1399999999999999</v>
      </c>
      <c r="U54" s="5">
        <v>1.147</v>
      </c>
      <c r="V54" s="5">
        <v>1.155</v>
      </c>
      <c r="W54" s="5">
        <v>1.1579999999999999</v>
      </c>
      <c r="X54" s="5">
        <v>1.1559999999999999</v>
      </c>
      <c r="Y54" s="5">
        <v>1.155</v>
      </c>
      <c r="Z54" s="5">
        <v>1.1599999999999999</v>
      </c>
      <c r="AA54" s="5">
        <v>1.1619999999999999</v>
      </c>
      <c r="AB54" s="5">
        <v>1.161</v>
      </c>
      <c r="AC54" s="5">
        <v>1.1639999999999999</v>
      </c>
      <c r="AD54" s="5">
        <v>29.289000000000001</v>
      </c>
    </row>
    <row r="55" spans="1:30" x14ac:dyDescent="0.3">
      <c r="A55" s="12"/>
      <c r="B55" s="12"/>
      <c r="C55" s="12"/>
      <c r="D55" s="1">
        <v>52</v>
      </c>
      <c r="E55" s="5">
        <v>0.34599999999999997</v>
      </c>
      <c r="F55" s="5">
        <v>0.44900000000000001</v>
      </c>
      <c r="G55" s="5">
        <v>0.55600000000000005</v>
      </c>
      <c r="H55" s="5">
        <v>0.65400000000000003</v>
      </c>
      <c r="I55" s="5">
        <v>0.74299999999999999</v>
      </c>
      <c r="J55" s="5">
        <v>0.82299999999999995</v>
      </c>
      <c r="K55" s="5">
        <v>0.90300000000000002</v>
      </c>
      <c r="L55" s="5">
        <v>0.96099999999999997</v>
      </c>
      <c r="M55" s="5">
        <v>1.0029999999999999</v>
      </c>
      <c r="N55" s="5">
        <v>1.0209999999999999</v>
      </c>
      <c r="O55" s="5">
        <v>1.052</v>
      </c>
      <c r="P55" s="5">
        <v>1.073</v>
      </c>
      <c r="Q55" s="5">
        <v>1.0900000000000001</v>
      </c>
      <c r="R55" s="5">
        <v>1.113</v>
      </c>
      <c r="S55" s="5">
        <v>1.1200000000000001</v>
      </c>
      <c r="T55" s="5">
        <v>1.1299999999999999</v>
      </c>
      <c r="U55" s="5">
        <v>1.1419999999999999</v>
      </c>
      <c r="V55" s="5">
        <v>1.145</v>
      </c>
      <c r="W55" s="5">
        <v>1.153</v>
      </c>
      <c r="X55" s="5">
        <v>1.141</v>
      </c>
      <c r="Y55" s="5">
        <v>1.177</v>
      </c>
      <c r="Z55" s="5">
        <v>1.1639999999999999</v>
      </c>
      <c r="AA55" s="5">
        <v>1.165</v>
      </c>
      <c r="AB55" s="5">
        <v>1.1830000000000001</v>
      </c>
      <c r="AC55" s="5">
        <v>1.1930000000000001</v>
      </c>
      <c r="AD55" s="5">
        <v>29.332999999999998</v>
      </c>
    </row>
    <row r="56" spans="1:30" x14ac:dyDescent="0.3">
      <c r="A56" s="12"/>
      <c r="B56" s="12"/>
      <c r="C56" s="12"/>
      <c r="D56" s="1">
        <v>53</v>
      </c>
      <c r="E56" s="5">
        <v>0.35099999999999998</v>
      </c>
      <c r="F56" s="5">
        <v>0.45700000000000002</v>
      </c>
      <c r="G56" s="5">
        <v>0.57099999999999995</v>
      </c>
      <c r="H56" s="5">
        <v>0.66500000000000004</v>
      </c>
      <c r="I56" s="5">
        <v>0.75700000000000001</v>
      </c>
      <c r="J56" s="5">
        <v>0.83599999999999997</v>
      </c>
      <c r="K56" s="5">
        <v>0.89100000000000001</v>
      </c>
      <c r="L56" s="5">
        <v>0.94599999999999995</v>
      </c>
      <c r="M56" s="5">
        <v>0.98899999999999999</v>
      </c>
      <c r="N56" s="5">
        <v>1.0209999999999999</v>
      </c>
      <c r="O56" s="5">
        <v>1.046</v>
      </c>
      <c r="P56" s="5">
        <v>1.073</v>
      </c>
      <c r="Q56" s="5">
        <v>1.0940000000000001</v>
      </c>
      <c r="R56" s="5">
        <v>1.113</v>
      </c>
      <c r="S56" s="5">
        <v>1.127</v>
      </c>
      <c r="T56" s="5">
        <v>1.145</v>
      </c>
      <c r="U56" s="5">
        <v>1.141</v>
      </c>
      <c r="V56" s="5">
        <v>1.1459999999999999</v>
      </c>
      <c r="W56" s="5">
        <v>1.1519999999999999</v>
      </c>
      <c r="X56" s="5">
        <v>1.1459999999999999</v>
      </c>
      <c r="Y56" s="5">
        <v>1.1499999999999999</v>
      </c>
      <c r="Z56" s="5">
        <v>1.171</v>
      </c>
      <c r="AA56" s="5">
        <v>1.175</v>
      </c>
      <c r="AB56" s="5">
        <v>1.1679999999999999</v>
      </c>
      <c r="AC56" s="5">
        <v>1.1870000000000001</v>
      </c>
      <c r="AD56" s="5">
        <v>29.117999999999999</v>
      </c>
    </row>
    <row r="57" spans="1:30" x14ac:dyDescent="0.3">
      <c r="A57" s="12"/>
      <c r="B57" s="12"/>
      <c r="C57" s="12"/>
      <c r="D57" s="1">
        <v>54</v>
      </c>
      <c r="E57" s="5">
        <v>0.372</v>
      </c>
      <c r="F57" s="5">
        <v>0.47</v>
      </c>
      <c r="G57" s="5">
        <v>0.59899999999999998</v>
      </c>
      <c r="H57" s="5">
        <v>0.68400000000000005</v>
      </c>
      <c r="I57" s="5">
        <v>0.77300000000000002</v>
      </c>
      <c r="J57" s="5">
        <v>0.85799999999999998</v>
      </c>
      <c r="K57" s="5">
        <v>0.91400000000000003</v>
      </c>
      <c r="L57" s="5">
        <v>0.96599999999999997</v>
      </c>
      <c r="M57" s="5">
        <v>1.014</v>
      </c>
      <c r="N57" s="5">
        <v>1.046</v>
      </c>
      <c r="O57" s="5">
        <v>1.0649999999999999</v>
      </c>
      <c r="P57" s="5">
        <v>1.0880000000000001</v>
      </c>
      <c r="Q57" s="5">
        <v>1.1040000000000001</v>
      </c>
      <c r="R57" s="5">
        <v>1.121</v>
      </c>
      <c r="S57" s="5">
        <v>1.135</v>
      </c>
      <c r="T57" s="5">
        <v>1.1519999999999999</v>
      </c>
      <c r="U57" s="5">
        <v>1.1659999999999999</v>
      </c>
      <c r="V57" s="5">
        <v>1.1539999999999999</v>
      </c>
      <c r="W57" s="5">
        <v>1.17</v>
      </c>
      <c r="X57" s="5">
        <v>1.1779999999999999</v>
      </c>
      <c r="Y57" s="5">
        <v>1.179</v>
      </c>
      <c r="Z57" s="5">
        <v>1.194</v>
      </c>
      <c r="AA57" s="5">
        <v>1.206</v>
      </c>
      <c r="AB57" s="5">
        <v>1.2010000000000001</v>
      </c>
      <c r="AC57" s="5">
        <v>1.2</v>
      </c>
      <c r="AD57" s="5">
        <v>29.236000000000001</v>
      </c>
    </row>
    <row r="58" spans="1:30" x14ac:dyDescent="0.3">
      <c r="A58" s="12"/>
      <c r="B58" s="12"/>
      <c r="C58" s="12"/>
      <c r="D58" s="1">
        <v>55</v>
      </c>
      <c r="E58" s="5">
        <v>0.375</v>
      </c>
      <c r="F58" s="5">
        <v>0.47199999999999998</v>
      </c>
      <c r="G58" s="5">
        <v>0.57899999999999996</v>
      </c>
      <c r="H58" s="5">
        <v>0.68200000000000005</v>
      </c>
      <c r="I58" s="5">
        <v>0.76400000000000001</v>
      </c>
      <c r="J58" s="5">
        <v>0.84399999999999997</v>
      </c>
      <c r="K58" s="5">
        <v>0.90400000000000003</v>
      </c>
      <c r="L58" s="5">
        <v>0.95699999999999996</v>
      </c>
      <c r="M58" s="5">
        <v>1.0009999999999999</v>
      </c>
      <c r="N58" s="5">
        <v>1.0329999999999999</v>
      </c>
      <c r="O58" s="5">
        <v>1.056</v>
      </c>
      <c r="P58" s="5">
        <v>1.083</v>
      </c>
      <c r="Q58" s="5">
        <v>1.095</v>
      </c>
      <c r="R58" s="5">
        <v>1.1180000000000001</v>
      </c>
      <c r="S58" s="5">
        <v>1.137</v>
      </c>
      <c r="T58" s="5">
        <v>1.139</v>
      </c>
      <c r="U58" s="5">
        <v>1.1559999999999999</v>
      </c>
      <c r="V58" s="5">
        <v>1.1479999999999999</v>
      </c>
      <c r="W58" s="5">
        <v>1.157</v>
      </c>
      <c r="X58" s="5">
        <v>1.1639999999999999</v>
      </c>
      <c r="Y58" s="5">
        <v>1.155</v>
      </c>
      <c r="Z58" s="5">
        <v>1.1859999999999999</v>
      </c>
      <c r="AA58" s="5">
        <v>1.1679999999999999</v>
      </c>
      <c r="AB58" s="5">
        <v>1.1619999999999999</v>
      </c>
      <c r="AC58" s="5">
        <v>1.1719999999999999</v>
      </c>
      <c r="AD58" s="5">
        <v>29.262</v>
      </c>
    </row>
    <row r="59" spans="1:30" x14ac:dyDescent="0.3">
      <c r="A59" s="12"/>
      <c r="B59" s="12"/>
      <c r="C59" s="12"/>
      <c r="D59" s="1">
        <v>56</v>
      </c>
      <c r="E59" s="5">
        <v>0.34200000000000003</v>
      </c>
      <c r="F59" s="5">
        <v>0.46</v>
      </c>
      <c r="G59" s="5">
        <v>0.57299999999999995</v>
      </c>
      <c r="H59" s="5">
        <v>0.67</v>
      </c>
      <c r="I59" s="5">
        <v>0.76100000000000001</v>
      </c>
      <c r="J59" s="5">
        <v>0.83599999999999997</v>
      </c>
      <c r="K59" s="5">
        <v>0.89700000000000002</v>
      </c>
      <c r="L59" s="5">
        <v>0.95699999999999996</v>
      </c>
      <c r="M59" s="5">
        <v>0.99299999999999999</v>
      </c>
      <c r="N59" s="5">
        <v>1.0269999999999999</v>
      </c>
      <c r="O59" s="5">
        <v>1.06</v>
      </c>
      <c r="P59" s="5">
        <v>1.0760000000000001</v>
      </c>
      <c r="Q59" s="5">
        <v>1.095</v>
      </c>
      <c r="R59" s="5">
        <v>1.1100000000000001</v>
      </c>
      <c r="S59" s="5">
        <v>1.1279999999999999</v>
      </c>
      <c r="T59" s="5">
        <v>1.139</v>
      </c>
      <c r="U59" s="5">
        <v>1.145</v>
      </c>
      <c r="V59" s="5">
        <v>1.151</v>
      </c>
      <c r="W59" s="5">
        <v>1.1439999999999999</v>
      </c>
      <c r="X59" s="5">
        <v>1.1459999999999999</v>
      </c>
      <c r="Y59" s="5">
        <v>1.1539999999999999</v>
      </c>
      <c r="Z59" s="5">
        <v>1.1659999999999999</v>
      </c>
      <c r="AA59" s="5">
        <v>1.1739999999999999</v>
      </c>
      <c r="AB59" s="5">
        <v>1.298</v>
      </c>
      <c r="AC59" s="5">
        <v>1.2609999999999999</v>
      </c>
      <c r="AD59" s="5">
        <v>29.303000000000001</v>
      </c>
    </row>
    <row r="60" spans="1:30" x14ac:dyDescent="0.3">
      <c r="A60" s="12"/>
      <c r="B60" s="12"/>
      <c r="C60" s="12"/>
      <c r="D60" s="1">
        <v>57</v>
      </c>
      <c r="E60" s="5">
        <v>0.36399999999999999</v>
      </c>
      <c r="F60" s="5">
        <v>0.47399999999999998</v>
      </c>
      <c r="G60" s="5">
        <v>0.57999999999999996</v>
      </c>
      <c r="H60" s="5">
        <v>0.67100000000000004</v>
      </c>
      <c r="I60" s="5">
        <v>0.76400000000000001</v>
      </c>
      <c r="J60" s="5">
        <v>0.83799999999999997</v>
      </c>
      <c r="K60" s="5">
        <v>0.90800000000000003</v>
      </c>
      <c r="L60" s="5">
        <v>0.95699999999999996</v>
      </c>
      <c r="M60" s="5">
        <v>1.0069999999999999</v>
      </c>
      <c r="N60" s="5">
        <v>1.03</v>
      </c>
      <c r="O60" s="5">
        <v>1.0580000000000001</v>
      </c>
      <c r="P60" s="5">
        <v>1.077</v>
      </c>
      <c r="Q60" s="5">
        <v>1.0920000000000001</v>
      </c>
      <c r="R60" s="5">
        <v>1.1160000000000001</v>
      </c>
      <c r="S60" s="5">
        <v>1.127</v>
      </c>
      <c r="T60" s="5">
        <v>1.1439999999999999</v>
      </c>
      <c r="U60" s="5">
        <v>1.149</v>
      </c>
      <c r="V60" s="5">
        <v>1.163</v>
      </c>
      <c r="W60" s="5">
        <v>1.169</v>
      </c>
      <c r="X60" s="5">
        <v>1.1739999999999999</v>
      </c>
      <c r="Y60" s="5">
        <v>1.157</v>
      </c>
      <c r="Z60" s="5">
        <v>1.161</v>
      </c>
      <c r="AA60" s="5">
        <v>1.171</v>
      </c>
      <c r="AB60" s="5">
        <v>1.1739999999999999</v>
      </c>
      <c r="AC60" s="5">
        <v>1.18</v>
      </c>
      <c r="AD60" s="5">
        <v>29.247</v>
      </c>
    </row>
    <row r="61" spans="1:30" x14ac:dyDescent="0.3">
      <c r="A61" s="12"/>
      <c r="B61" s="12"/>
      <c r="C61" s="12"/>
      <c r="D61" s="1">
        <v>58</v>
      </c>
      <c r="E61" s="5">
        <v>0.35699999999999998</v>
      </c>
      <c r="F61" s="5">
        <v>0.46600000000000003</v>
      </c>
      <c r="G61" s="5">
        <v>0.57899999999999996</v>
      </c>
      <c r="H61" s="5">
        <v>0.67800000000000005</v>
      </c>
      <c r="I61" s="5">
        <v>0.76900000000000002</v>
      </c>
      <c r="J61" s="5">
        <v>0.84499999999999997</v>
      </c>
      <c r="K61" s="5">
        <v>0.90800000000000003</v>
      </c>
      <c r="L61" s="5">
        <v>0.96</v>
      </c>
      <c r="M61" s="5">
        <v>1.006</v>
      </c>
      <c r="N61" s="5">
        <v>1.038</v>
      </c>
      <c r="O61" s="5">
        <v>1.0609999999999999</v>
      </c>
      <c r="P61" s="5">
        <v>1.085</v>
      </c>
      <c r="Q61" s="5">
        <v>1.1040000000000001</v>
      </c>
      <c r="R61" s="5">
        <v>1.117</v>
      </c>
      <c r="S61" s="5">
        <v>1.1459999999999999</v>
      </c>
      <c r="T61" s="5">
        <v>1.1499999999999999</v>
      </c>
      <c r="U61" s="5">
        <v>1.159</v>
      </c>
      <c r="V61" s="5">
        <v>1.1619999999999999</v>
      </c>
      <c r="W61" s="5">
        <v>1.1639999999999999</v>
      </c>
      <c r="X61" s="5">
        <v>1.18</v>
      </c>
      <c r="Y61" s="5">
        <v>1.173</v>
      </c>
      <c r="Z61" s="5">
        <v>1.169</v>
      </c>
      <c r="AA61" s="5">
        <v>1.181</v>
      </c>
      <c r="AB61" s="5">
        <v>1.194</v>
      </c>
      <c r="AC61" s="5">
        <v>1.1779999999999999</v>
      </c>
      <c r="AD61" s="5">
        <v>29.221</v>
      </c>
    </row>
    <row r="62" spans="1:30" x14ac:dyDescent="0.3">
      <c r="A62" s="12"/>
      <c r="B62" s="12"/>
      <c r="C62" s="12"/>
      <c r="D62" s="1">
        <v>59</v>
      </c>
      <c r="E62" s="5">
        <v>0.36</v>
      </c>
      <c r="F62" s="5">
        <v>0.46899999999999997</v>
      </c>
      <c r="G62" s="5">
        <v>0.57799999999999996</v>
      </c>
      <c r="H62" s="5">
        <v>0.68200000000000005</v>
      </c>
      <c r="I62" s="5">
        <v>0.76300000000000001</v>
      </c>
      <c r="J62" s="5">
        <v>0.83499999999999996</v>
      </c>
      <c r="K62" s="5">
        <v>0.89600000000000002</v>
      </c>
      <c r="L62" s="5">
        <v>0.95</v>
      </c>
      <c r="M62" s="5">
        <v>0.99299999999999999</v>
      </c>
      <c r="N62" s="5">
        <v>1.0269999999999999</v>
      </c>
      <c r="O62" s="5">
        <v>1.0489999999999999</v>
      </c>
      <c r="P62" s="5">
        <v>1.08</v>
      </c>
      <c r="Q62" s="5">
        <v>1.097</v>
      </c>
      <c r="R62" s="5">
        <v>1.1100000000000001</v>
      </c>
      <c r="S62" s="5">
        <v>1.127</v>
      </c>
      <c r="T62" s="5">
        <v>1.139</v>
      </c>
      <c r="U62" s="5">
        <v>1.1419999999999999</v>
      </c>
      <c r="V62" s="5">
        <v>1.1559999999999999</v>
      </c>
      <c r="W62" s="5">
        <v>1.151</v>
      </c>
      <c r="X62" s="5">
        <v>1.151</v>
      </c>
      <c r="Y62" s="5">
        <v>1.1539999999999999</v>
      </c>
      <c r="Z62" s="5">
        <v>1.161</v>
      </c>
      <c r="AA62" s="5">
        <v>1.1739999999999999</v>
      </c>
      <c r="AB62" s="5">
        <v>1.1659999999999999</v>
      </c>
      <c r="AC62" s="5">
        <v>1.1739999999999999</v>
      </c>
      <c r="AD62" s="5">
        <v>29.382000000000001</v>
      </c>
    </row>
    <row r="63" spans="1:30" x14ac:dyDescent="0.3">
      <c r="A63" s="12"/>
      <c r="B63" s="12"/>
      <c r="C63" s="12"/>
      <c r="D63" s="1">
        <v>60</v>
      </c>
      <c r="E63" s="5">
        <v>0.34699999999999998</v>
      </c>
      <c r="F63" s="5">
        <v>0.46</v>
      </c>
      <c r="G63" s="5">
        <v>0.57299999999999995</v>
      </c>
      <c r="H63" s="5">
        <v>0.67</v>
      </c>
      <c r="I63" s="5">
        <v>0.76</v>
      </c>
      <c r="J63" s="5">
        <v>0.84399999999999997</v>
      </c>
      <c r="K63" s="5">
        <v>0.89500000000000002</v>
      </c>
      <c r="L63" s="5">
        <v>0.95</v>
      </c>
      <c r="M63" s="5">
        <v>0.99299999999999999</v>
      </c>
      <c r="N63" s="5">
        <v>1.0249999999999999</v>
      </c>
      <c r="O63" s="5">
        <v>1.0549999999999999</v>
      </c>
      <c r="P63" s="5">
        <v>1.075</v>
      </c>
      <c r="Q63" s="5">
        <v>1.091</v>
      </c>
      <c r="R63" s="5">
        <v>1.1080000000000001</v>
      </c>
      <c r="S63" s="5">
        <v>1.1240000000000001</v>
      </c>
      <c r="T63" s="5">
        <v>1.135</v>
      </c>
      <c r="U63" s="5">
        <v>1.141</v>
      </c>
      <c r="V63" s="5">
        <v>1.147</v>
      </c>
      <c r="W63" s="5">
        <v>1.153</v>
      </c>
      <c r="X63" s="5">
        <v>1.157</v>
      </c>
      <c r="Y63" s="5">
        <v>1.171</v>
      </c>
      <c r="Z63" s="5">
        <v>1.18</v>
      </c>
      <c r="AA63" s="5">
        <v>1.1839999999999999</v>
      </c>
      <c r="AB63" s="5">
        <v>1.17</v>
      </c>
      <c r="AC63" s="5">
        <v>1.1870000000000001</v>
      </c>
      <c r="AD63" s="5">
        <v>29.215</v>
      </c>
    </row>
    <row r="64" spans="1:30" x14ac:dyDescent="0.3">
      <c r="D64" t="s">
        <v>36</v>
      </c>
      <c r="E64" s="3">
        <f>AVERAGE(E4:E63)</f>
        <v>0.35749999999999998</v>
      </c>
      <c r="F64" s="3">
        <f t="shared" ref="F64:AC64" si="0">AVERAGE(F4:F63)</f>
        <v>0.46215000000000006</v>
      </c>
      <c r="G64" s="3">
        <f t="shared" si="0"/>
        <v>0.57286666666666664</v>
      </c>
      <c r="H64" s="3">
        <f t="shared" si="0"/>
        <v>0.67095000000000027</v>
      </c>
      <c r="I64" s="3">
        <f t="shared" si="0"/>
        <v>0.75823333333333354</v>
      </c>
      <c r="J64" s="3">
        <f t="shared" si="0"/>
        <v>0.83665</v>
      </c>
      <c r="K64" s="3">
        <f t="shared" si="0"/>
        <v>0.89600000000000024</v>
      </c>
      <c r="L64" s="3">
        <f t="shared" si="0"/>
        <v>0.95106666666666684</v>
      </c>
      <c r="M64" s="3">
        <f t="shared" si="0"/>
        <v>0.99601666666666666</v>
      </c>
      <c r="N64" s="3">
        <f t="shared" si="0"/>
        <v>1.0255999999999998</v>
      </c>
      <c r="O64" s="3">
        <f t="shared" si="0"/>
        <v>1.0539499999999997</v>
      </c>
      <c r="P64" s="3">
        <f t="shared" si="0"/>
        <v>1.0772833333333336</v>
      </c>
      <c r="Q64" s="3">
        <f t="shared" si="0"/>
        <v>1.0781833333333337</v>
      </c>
      <c r="R64" s="3">
        <f t="shared" si="0"/>
        <v>1.1115000000000002</v>
      </c>
      <c r="S64" s="3">
        <f t="shared" si="0"/>
        <v>1.1269500000000001</v>
      </c>
      <c r="T64" s="3">
        <f t="shared" si="0"/>
        <v>1.1413500000000008</v>
      </c>
      <c r="U64" s="3">
        <f t="shared" si="0"/>
        <v>1.1477666666666668</v>
      </c>
      <c r="V64" s="3">
        <f t="shared" si="0"/>
        <v>1.15215</v>
      </c>
      <c r="W64" s="3">
        <f t="shared" si="0"/>
        <v>1.1535333333333333</v>
      </c>
      <c r="X64" s="3">
        <f t="shared" si="0"/>
        <v>1.156033333333333</v>
      </c>
      <c r="Y64" s="3">
        <f t="shared" si="0"/>
        <v>1.1582000000000003</v>
      </c>
      <c r="Z64" s="3">
        <f t="shared" si="0"/>
        <v>1.1655500000000001</v>
      </c>
      <c r="AA64" s="3">
        <f t="shared" si="0"/>
        <v>1.1536000000000002</v>
      </c>
      <c r="AB64" s="3">
        <f t="shared" si="0"/>
        <v>1.1793</v>
      </c>
      <c r="AC64" s="3">
        <f t="shared" si="0"/>
        <v>1.1823333333333332</v>
      </c>
      <c r="AD64" s="3">
        <f>AVERAGE(AD4:AD63)</f>
        <v>29.271849999999997</v>
      </c>
    </row>
    <row r="65" spans="3:30" x14ac:dyDescent="0.3">
      <c r="D65" t="s">
        <v>39</v>
      </c>
      <c r="E65" s="3">
        <f>F64-E64</f>
        <v>0.10465000000000008</v>
      </c>
      <c r="F65" s="3">
        <f t="shared" ref="F65:AB65" si="1">G64-F64</f>
        <v>0.11071666666666657</v>
      </c>
      <c r="G65" s="3">
        <f t="shared" si="1"/>
        <v>9.8083333333333633E-2</v>
      </c>
      <c r="H65" s="3">
        <f t="shared" si="1"/>
        <v>8.7283333333333268E-2</v>
      </c>
      <c r="I65" s="3">
        <f t="shared" si="1"/>
        <v>7.8416666666666468E-2</v>
      </c>
      <c r="J65" s="3">
        <f t="shared" si="1"/>
        <v>5.9350000000000236E-2</v>
      </c>
      <c r="K65" s="3">
        <f t="shared" si="1"/>
        <v>5.5066666666666597E-2</v>
      </c>
      <c r="L65" s="3">
        <f t="shared" si="1"/>
        <v>4.4949999999999823E-2</v>
      </c>
      <c r="M65" s="3">
        <f t="shared" si="1"/>
        <v>2.9583333333333184E-2</v>
      </c>
      <c r="N65" s="3">
        <f t="shared" si="1"/>
        <v>2.8349999999999875E-2</v>
      </c>
      <c r="O65" s="3">
        <f t="shared" si="1"/>
        <v>2.3333333333333872E-2</v>
      </c>
      <c r="P65" s="3">
        <f t="shared" si="1"/>
        <v>9.0000000000012292E-4</v>
      </c>
      <c r="Q65" s="3">
        <f t="shared" si="1"/>
        <v>3.3316666666666439E-2</v>
      </c>
      <c r="R65" s="3">
        <f t="shared" si="1"/>
        <v>1.5449999999999964E-2</v>
      </c>
      <c r="S65" s="3">
        <f t="shared" si="1"/>
        <v>1.4400000000000635E-2</v>
      </c>
      <c r="T65" s="3">
        <f t="shared" si="1"/>
        <v>6.416666666666071E-3</v>
      </c>
      <c r="U65" s="3">
        <f t="shared" si="1"/>
        <v>4.3833333333331836E-3</v>
      </c>
      <c r="V65" s="3">
        <f t="shared" si="1"/>
        <v>1.383333333333292E-3</v>
      </c>
      <c r="W65" s="3">
        <f t="shared" si="1"/>
        <v>2.4999999999997247E-3</v>
      </c>
      <c r="X65" s="3">
        <f t="shared" si="1"/>
        <v>2.1666666666673162E-3</v>
      </c>
      <c r="Y65" s="3">
        <f t="shared" si="1"/>
        <v>7.3499999999997456E-3</v>
      </c>
      <c r="Z65" s="3">
        <f t="shared" si="1"/>
        <v>-1.1949999999999905E-2</v>
      </c>
      <c r="AA65" s="3">
        <f t="shared" si="1"/>
        <v>2.5699999999999834E-2</v>
      </c>
      <c r="AB65" s="3">
        <f t="shared" si="1"/>
        <v>3.0333333333332213E-3</v>
      </c>
      <c r="AC65" s="3"/>
      <c r="AD65" s="3"/>
    </row>
    <row r="66" spans="3:30" x14ac:dyDescent="0.3">
      <c r="D66" t="s">
        <v>40</v>
      </c>
      <c r="E66" s="3">
        <f>MIN(E4:E63)</f>
        <v>0.33900000000000002</v>
      </c>
      <c r="F66" s="3">
        <f t="shared" ref="F66:AD66" si="2">MIN(F4:F63)</f>
        <v>0.44500000000000001</v>
      </c>
      <c r="G66" s="3">
        <f t="shared" si="2"/>
        <v>0.55400000000000005</v>
      </c>
      <c r="H66" s="3">
        <f t="shared" si="2"/>
        <v>0.65200000000000002</v>
      </c>
      <c r="I66" s="3">
        <f t="shared" si="2"/>
        <v>0.74299999999999999</v>
      </c>
      <c r="J66" s="3">
        <f t="shared" si="2"/>
        <v>0.82299999999999995</v>
      </c>
      <c r="K66" s="3">
        <f t="shared" si="2"/>
        <v>0.88300000000000001</v>
      </c>
      <c r="L66" s="3">
        <f t="shared" si="2"/>
        <v>0.93600000000000005</v>
      </c>
      <c r="M66" s="3">
        <f t="shared" si="2"/>
        <v>0.98299999999999998</v>
      </c>
      <c r="N66" s="3">
        <f t="shared" si="2"/>
        <v>1.008</v>
      </c>
      <c r="O66" s="3">
        <f t="shared" si="2"/>
        <v>1.0349999999999999</v>
      </c>
      <c r="P66" s="3">
        <f t="shared" si="2"/>
        <v>1.0609999999999999</v>
      </c>
      <c r="Q66" s="3">
        <f t="shared" si="2"/>
        <v>0.17599999999999999</v>
      </c>
      <c r="R66" s="3">
        <f t="shared" si="2"/>
        <v>1.093</v>
      </c>
      <c r="S66" s="3">
        <f t="shared" si="2"/>
        <v>1.1060000000000001</v>
      </c>
      <c r="T66" s="3">
        <f t="shared" si="2"/>
        <v>1.1220000000000001</v>
      </c>
      <c r="U66" s="3">
        <f t="shared" si="2"/>
        <v>1.1279999999999999</v>
      </c>
      <c r="V66" s="3">
        <f t="shared" si="2"/>
        <v>1.1279999999999999</v>
      </c>
      <c r="W66" s="3">
        <f t="shared" si="2"/>
        <v>1.131</v>
      </c>
      <c r="X66" s="3">
        <f t="shared" si="2"/>
        <v>1.1319999999999999</v>
      </c>
      <c r="Y66" s="3">
        <f t="shared" si="2"/>
        <v>1.129</v>
      </c>
      <c r="Z66" s="3">
        <f t="shared" si="2"/>
        <v>1.1339999999999999</v>
      </c>
      <c r="AA66" s="3">
        <f t="shared" si="2"/>
        <v>0.108</v>
      </c>
      <c r="AB66" s="3">
        <f t="shared" si="2"/>
        <v>1.1359999999999999</v>
      </c>
      <c r="AC66" s="3">
        <f t="shared" si="2"/>
        <v>1.1339999999999999</v>
      </c>
      <c r="AD66" s="3">
        <f t="shared" si="2"/>
        <v>29.068999999999999</v>
      </c>
    </row>
    <row r="67" spans="3:30" x14ac:dyDescent="0.3">
      <c r="D67" t="s">
        <v>41</v>
      </c>
      <c r="E67" s="3">
        <f>MAX(E4:E63)</f>
        <v>0.377</v>
      </c>
      <c r="F67" s="3">
        <f t="shared" ref="F67:AD67" si="3">MAX(F4:F63)</f>
        <v>0.496</v>
      </c>
      <c r="G67" s="3">
        <f t="shared" si="3"/>
        <v>0.59899999999999998</v>
      </c>
      <c r="H67" s="3">
        <f t="shared" si="3"/>
        <v>0.69299999999999995</v>
      </c>
      <c r="I67" s="3">
        <f t="shared" si="3"/>
        <v>0.77300000000000002</v>
      </c>
      <c r="J67" s="3">
        <f t="shared" si="3"/>
        <v>0.85799999999999998</v>
      </c>
      <c r="K67" s="3">
        <f t="shared" si="3"/>
        <v>0.91400000000000003</v>
      </c>
      <c r="L67" s="3">
        <f t="shared" si="3"/>
        <v>0.96599999999999997</v>
      </c>
      <c r="M67" s="3">
        <f t="shared" si="3"/>
        <v>1.014</v>
      </c>
      <c r="N67" s="3">
        <f t="shared" si="3"/>
        <v>1.046</v>
      </c>
      <c r="O67" s="3">
        <f t="shared" si="3"/>
        <v>1.1040000000000001</v>
      </c>
      <c r="P67" s="3">
        <f t="shared" si="3"/>
        <v>1.0980000000000001</v>
      </c>
      <c r="Q67" s="3">
        <f t="shared" si="3"/>
        <v>1.105</v>
      </c>
      <c r="R67" s="3">
        <f t="shared" si="3"/>
        <v>1.127</v>
      </c>
      <c r="S67" s="3">
        <f t="shared" si="3"/>
        <v>1.1459999999999999</v>
      </c>
      <c r="T67" s="3">
        <f t="shared" si="3"/>
        <v>1.161</v>
      </c>
      <c r="U67" s="3">
        <f t="shared" si="3"/>
        <v>1.1970000000000001</v>
      </c>
      <c r="V67" s="3">
        <f t="shared" si="3"/>
        <v>1.167</v>
      </c>
      <c r="W67" s="3">
        <f t="shared" si="3"/>
        <v>1.1819999999999999</v>
      </c>
      <c r="X67" s="3">
        <f t="shared" si="3"/>
        <v>1.18</v>
      </c>
      <c r="Y67" s="3">
        <f t="shared" si="3"/>
        <v>1.19</v>
      </c>
      <c r="Z67" s="3">
        <f t="shared" si="3"/>
        <v>1.194</v>
      </c>
      <c r="AA67" s="3">
        <f t="shared" si="3"/>
        <v>1.2090000000000001</v>
      </c>
      <c r="AB67" s="3">
        <f t="shared" si="3"/>
        <v>1.3240000000000001</v>
      </c>
      <c r="AC67" s="3">
        <f t="shared" si="3"/>
        <v>1.264</v>
      </c>
      <c r="AD67" s="3">
        <f t="shared" si="3"/>
        <v>29.413</v>
      </c>
    </row>
    <row r="68" spans="3:30" x14ac:dyDescent="0.3">
      <c r="D68" t="s">
        <v>37</v>
      </c>
      <c r="E68" s="3">
        <f>AVERAGE(E4:E63)-(2*_xlfn.STDEV.S(E4:E63))</f>
        <v>0.33684135384356106</v>
      </c>
      <c r="F68" s="3">
        <f t="shared" ref="F68:AD68" si="4">AVERAGE(F4:F63)-(2*_xlfn.STDEV.S(F4:F63))</f>
        <v>0.44549874158570413</v>
      </c>
      <c r="G68" s="3">
        <f t="shared" si="4"/>
        <v>0.5551745093821937</v>
      </c>
      <c r="H68" s="3">
        <f t="shared" si="4"/>
        <v>0.65368859993501738</v>
      </c>
      <c r="I68" s="3">
        <f t="shared" si="4"/>
        <v>0.74525947870354814</v>
      </c>
      <c r="J68" s="3">
        <f t="shared" si="4"/>
        <v>0.82462840925385505</v>
      </c>
      <c r="K68" s="3">
        <f t="shared" si="4"/>
        <v>0.88319110478572938</v>
      </c>
      <c r="L68" s="3">
        <f t="shared" si="4"/>
        <v>0.94055522549619808</v>
      </c>
      <c r="M68" s="3">
        <f t="shared" si="4"/>
        <v>0.9849606204388287</v>
      </c>
      <c r="N68" s="3">
        <f t="shared" si="4"/>
        <v>1.0137925045351461</v>
      </c>
      <c r="O68" s="3">
        <f t="shared" si="4"/>
        <v>1.0346068016596555</v>
      </c>
      <c r="P68" s="3">
        <f t="shared" si="4"/>
        <v>1.0653621704582703</v>
      </c>
      <c r="Q68" s="3">
        <f t="shared" si="4"/>
        <v>0.84100114871449949</v>
      </c>
      <c r="R68" s="3">
        <f t="shared" si="4"/>
        <v>1.0997656523294119</v>
      </c>
      <c r="S68" s="3">
        <f t="shared" si="4"/>
        <v>1.1137017829789333</v>
      </c>
      <c r="T68" s="3">
        <f t="shared" si="4"/>
        <v>1.1271991181325298</v>
      </c>
      <c r="U68" s="3">
        <f t="shared" si="4"/>
        <v>1.1284166641118851</v>
      </c>
      <c r="V68" s="3">
        <f t="shared" si="4"/>
        <v>1.134800843814785</v>
      </c>
      <c r="W68" s="3">
        <f t="shared" si="4"/>
        <v>1.1358872201427617</v>
      </c>
      <c r="X68" s="3">
        <f t="shared" si="4"/>
        <v>1.1342953975272969</v>
      </c>
      <c r="Y68" s="3">
        <f t="shared" si="4"/>
        <v>1.1334852202319536</v>
      </c>
      <c r="Z68" s="3">
        <f t="shared" si="4"/>
        <v>1.1415036464584738</v>
      </c>
      <c r="AA68" s="3">
        <f t="shared" si="4"/>
        <v>0.8777252556389652</v>
      </c>
      <c r="AB68" s="3">
        <f t="shared" si="4"/>
        <v>1.1080646060168668</v>
      </c>
      <c r="AC68" s="3">
        <f t="shared" si="4"/>
        <v>1.1327128527794785</v>
      </c>
      <c r="AD68" s="3">
        <f t="shared" si="4"/>
        <v>29.103559764425171</v>
      </c>
    </row>
    <row r="69" spans="3:30" x14ac:dyDescent="0.3">
      <c r="D69" t="s">
        <v>38</v>
      </c>
      <c r="E69" s="3">
        <f>AVERAGE(E4:E63)+(2*_xlfn.STDEV.S(E4:E63))</f>
        <v>0.3781586461564389</v>
      </c>
      <c r="F69" s="3">
        <f t="shared" ref="F69:AD69" si="5">AVERAGE(F4:F63)+(2*_xlfn.STDEV.S(F4:F63))</f>
        <v>0.47880125841429599</v>
      </c>
      <c r="G69" s="3">
        <f t="shared" si="5"/>
        <v>0.59055882395113957</v>
      </c>
      <c r="H69" s="3">
        <f t="shared" si="5"/>
        <v>0.68821140006498316</v>
      </c>
      <c r="I69" s="3">
        <f t="shared" si="5"/>
        <v>0.77120718796311893</v>
      </c>
      <c r="J69" s="3">
        <f t="shared" si="5"/>
        <v>0.84867159074614495</v>
      </c>
      <c r="K69" s="3">
        <f t="shared" si="5"/>
        <v>0.90880889521427111</v>
      </c>
      <c r="L69" s="3">
        <f t="shared" si="5"/>
        <v>0.9615781078371356</v>
      </c>
      <c r="M69" s="3">
        <f t="shared" si="5"/>
        <v>1.0070727128945047</v>
      </c>
      <c r="N69" s="3">
        <f t="shared" si="5"/>
        <v>1.0374074954648536</v>
      </c>
      <c r="O69" s="3">
        <f t="shared" si="5"/>
        <v>1.073293198340344</v>
      </c>
      <c r="P69" s="3">
        <f t="shared" si="5"/>
        <v>1.0892044962083969</v>
      </c>
      <c r="Q69" s="3">
        <f t="shared" si="5"/>
        <v>1.3153655179521679</v>
      </c>
      <c r="R69" s="3">
        <f t="shared" si="5"/>
        <v>1.1232343476705884</v>
      </c>
      <c r="S69" s="3">
        <f t="shared" si="5"/>
        <v>1.1401982170210669</v>
      </c>
      <c r="T69" s="3">
        <f t="shared" si="5"/>
        <v>1.1555008818674717</v>
      </c>
      <c r="U69" s="3">
        <f t="shared" si="5"/>
        <v>1.1671166692214485</v>
      </c>
      <c r="V69" s="3">
        <f t="shared" si="5"/>
        <v>1.169499156185215</v>
      </c>
      <c r="W69" s="3">
        <f t="shared" si="5"/>
        <v>1.1711794465239049</v>
      </c>
      <c r="X69" s="3">
        <f t="shared" si="5"/>
        <v>1.1777712691393691</v>
      </c>
      <c r="Y69" s="3">
        <f t="shared" si="5"/>
        <v>1.182914779768047</v>
      </c>
      <c r="Z69" s="3">
        <f t="shared" si="5"/>
        <v>1.1895963535415264</v>
      </c>
      <c r="AA69" s="3">
        <f t="shared" si="5"/>
        <v>1.4294747443610352</v>
      </c>
      <c r="AB69" s="3">
        <f t="shared" si="5"/>
        <v>1.2505353939831332</v>
      </c>
      <c r="AC69" s="3">
        <f t="shared" si="5"/>
        <v>1.2319538138871879</v>
      </c>
      <c r="AD69" s="3">
        <f t="shared" si="5"/>
        <v>29.440140235574823</v>
      </c>
    </row>
    <row r="70" spans="3:30" x14ac:dyDescent="0.3">
      <c r="D70" t="s">
        <v>43</v>
      </c>
      <c r="E70">
        <f t="shared" ref="E70:AD70" si="6">3*_xlfn.STDEV.S(E4:E63)</f>
        <v>3.0987969234658408E-2</v>
      </c>
      <c r="F70">
        <f t="shared" si="6"/>
        <v>2.4976887621443879E-2</v>
      </c>
      <c r="G70">
        <f t="shared" si="6"/>
        <v>2.6538235926709453E-2</v>
      </c>
      <c r="H70">
        <f t="shared" si="6"/>
        <v>2.5892100097474263E-2</v>
      </c>
      <c r="I70">
        <f t="shared" si="6"/>
        <v>1.9460781944678016E-2</v>
      </c>
      <c r="J70">
        <f t="shared" si="6"/>
        <v>1.8032386119217359E-2</v>
      </c>
      <c r="K70">
        <f t="shared" si="6"/>
        <v>1.9213342821406222E-2</v>
      </c>
      <c r="L70">
        <f t="shared" si="6"/>
        <v>1.5767161755703162E-2</v>
      </c>
      <c r="M70">
        <f t="shared" si="6"/>
        <v>1.6584069341756942E-2</v>
      </c>
      <c r="N70">
        <f t="shared" si="6"/>
        <v>1.7711243197280711E-2</v>
      </c>
      <c r="O70">
        <f t="shared" si="6"/>
        <v>2.9014797510516457E-2</v>
      </c>
      <c r="P70">
        <f t="shared" si="6"/>
        <v>1.7881744312594858E-2</v>
      </c>
      <c r="Q70">
        <f t="shared" si="6"/>
        <v>0.35577327692825123</v>
      </c>
      <c r="R70">
        <f t="shared" si="6"/>
        <v>1.7601521505882227E-2</v>
      </c>
      <c r="S70">
        <f t="shared" si="6"/>
        <v>1.9872325531600316E-2</v>
      </c>
      <c r="T70">
        <f t="shared" si="6"/>
        <v>2.1226322801206433E-2</v>
      </c>
      <c r="U70">
        <f t="shared" si="6"/>
        <v>2.9025003832172533E-2</v>
      </c>
      <c r="V70">
        <f t="shared" si="6"/>
        <v>2.6023734277822515E-2</v>
      </c>
      <c r="W70">
        <f t="shared" si="6"/>
        <v>2.6469169785857352E-2</v>
      </c>
      <c r="X70">
        <f t="shared" si="6"/>
        <v>3.2606903709054134E-2</v>
      </c>
      <c r="Y70">
        <f t="shared" si="6"/>
        <v>3.7072169652070108E-2</v>
      </c>
      <c r="Z70">
        <f t="shared" si="6"/>
        <v>3.6069530312289294E-2</v>
      </c>
      <c r="AA70">
        <f t="shared" si="6"/>
        <v>0.41381211654155237</v>
      </c>
      <c r="AB70">
        <f t="shared" si="6"/>
        <v>0.10685309097469972</v>
      </c>
      <c r="AC70">
        <f t="shared" si="6"/>
        <v>7.4430720830782185E-2</v>
      </c>
      <c r="AD70">
        <f t="shared" si="6"/>
        <v>0.25243535336223977</v>
      </c>
    </row>
    <row r="71" spans="3:30" x14ac:dyDescent="0.3">
      <c r="D71" t="s">
        <v>44</v>
      </c>
      <c r="E71">
        <f>(_xlfn.PERCENTILE.INC(E4:E63,0.95)-_xlfn.PERCENTILE.INC(E4:E63,0.05))/2</f>
        <v>1.6499999999999987E-2</v>
      </c>
      <c r="F71">
        <f t="shared" ref="F71" si="7">(_xlfn.PERCENTILE.INC(F4:F63,0.95)-_xlfn.PERCENTILE.INC(F4:F63,0.05))/2</f>
        <v>1.0599999999999971E-2</v>
      </c>
      <c r="G71">
        <f t="shared" ref="G71:AD71" si="8">(_xlfn.PERCENTILE.INC(G4:G63,0.95)-_xlfn.PERCENTILE.INC(G4:G63,0.05))/2</f>
        <v>1.6174999999999939E-2</v>
      </c>
      <c r="H71">
        <f t="shared" si="8"/>
        <v>1.3124999999999998E-2</v>
      </c>
      <c r="I71">
        <f t="shared" si="8"/>
        <v>1.0500000000000009E-2</v>
      </c>
      <c r="J71">
        <f t="shared" si="8"/>
        <v>8.550000000000002E-3</v>
      </c>
      <c r="K71">
        <f t="shared" si="8"/>
        <v>1.0025000000000006E-2</v>
      </c>
      <c r="L71">
        <f t="shared" si="8"/>
        <v>8.0999999999999961E-3</v>
      </c>
      <c r="M71">
        <f t="shared" si="8"/>
        <v>9.0249999999999497E-3</v>
      </c>
      <c r="N71">
        <f t="shared" si="8"/>
        <v>8.0250000000000599E-3</v>
      </c>
      <c r="O71">
        <f t="shared" si="8"/>
        <v>1.0699999999999932E-2</v>
      </c>
      <c r="P71">
        <f t="shared" si="8"/>
        <v>7.6750000000000984E-3</v>
      </c>
      <c r="Q71">
        <f t="shared" si="8"/>
        <v>1.2125000000000052E-2</v>
      </c>
      <c r="R71">
        <f t="shared" si="8"/>
        <v>9.5250000000000057E-3</v>
      </c>
      <c r="S71">
        <f t="shared" si="8"/>
        <v>9.4999999999999529E-3</v>
      </c>
      <c r="T71">
        <f t="shared" si="8"/>
        <v>1.1025000000000063E-2</v>
      </c>
      <c r="U71">
        <f t="shared" si="8"/>
        <v>1.1025000000000063E-2</v>
      </c>
      <c r="V71">
        <f t="shared" si="8"/>
        <v>1.3550000000000062E-2</v>
      </c>
      <c r="W71">
        <f t="shared" si="8"/>
        <v>1.3050000000000006E-2</v>
      </c>
      <c r="X71">
        <f t="shared" si="8"/>
        <v>1.7125000000000057E-2</v>
      </c>
      <c r="Y71">
        <f t="shared" si="8"/>
        <v>1.8550000000000066E-2</v>
      </c>
      <c r="Z71">
        <f t="shared" si="8"/>
        <v>1.92500000000001E-2</v>
      </c>
      <c r="AA71">
        <f t="shared" si="8"/>
        <v>2.3750000000000049E-2</v>
      </c>
      <c r="AB71">
        <f t="shared" si="8"/>
        <v>6.4174999999999982E-2</v>
      </c>
      <c r="AC71">
        <f t="shared" si="8"/>
        <v>4.6350000000000002E-2</v>
      </c>
      <c r="AD71">
        <f t="shared" si="8"/>
        <v>0.14465000000000039</v>
      </c>
    </row>
    <row r="72" spans="3:30" x14ac:dyDescent="0.3">
      <c r="D72" t="s">
        <v>42</v>
      </c>
      <c r="E72">
        <f t="shared" ref="E72:AD72" si="9">MAX(3*_xlfn.STDEV.S(E4:E63),(_xlfn.PERCENTILE.INC(E4:E63,0.95)-_xlfn.PERCENTILE.INC(E4:E63,0.05))/2
)</f>
        <v>3.0987969234658408E-2</v>
      </c>
      <c r="F72">
        <f t="shared" si="9"/>
        <v>2.4976887621443879E-2</v>
      </c>
      <c r="G72">
        <f t="shared" si="9"/>
        <v>2.6538235926709453E-2</v>
      </c>
      <c r="H72">
        <f t="shared" si="9"/>
        <v>2.5892100097474263E-2</v>
      </c>
      <c r="I72">
        <f t="shared" si="9"/>
        <v>1.9460781944678016E-2</v>
      </c>
      <c r="J72">
        <f t="shared" si="9"/>
        <v>1.8032386119217359E-2</v>
      </c>
      <c r="K72">
        <f t="shared" si="9"/>
        <v>1.9213342821406222E-2</v>
      </c>
      <c r="L72">
        <f t="shared" si="9"/>
        <v>1.5767161755703162E-2</v>
      </c>
      <c r="M72">
        <f t="shared" si="9"/>
        <v>1.6584069341756942E-2</v>
      </c>
      <c r="N72">
        <f t="shared" si="9"/>
        <v>1.7711243197280711E-2</v>
      </c>
      <c r="O72">
        <f t="shared" si="9"/>
        <v>2.9014797510516457E-2</v>
      </c>
      <c r="P72">
        <f t="shared" si="9"/>
        <v>1.7881744312594858E-2</v>
      </c>
      <c r="Q72">
        <f t="shared" si="9"/>
        <v>0.35577327692825123</v>
      </c>
      <c r="R72">
        <f t="shared" si="9"/>
        <v>1.7601521505882227E-2</v>
      </c>
      <c r="S72">
        <f t="shared" si="9"/>
        <v>1.9872325531600316E-2</v>
      </c>
      <c r="T72">
        <f t="shared" si="9"/>
        <v>2.1226322801206433E-2</v>
      </c>
      <c r="U72">
        <f t="shared" si="9"/>
        <v>2.9025003832172533E-2</v>
      </c>
      <c r="V72">
        <f t="shared" si="9"/>
        <v>2.6023734277822515E-2</v>
      </c>
      <c r="W72">
        <f t="shared" si="9"/>
        <v>2.6469169785857352E-2</v>
      </c>
      <c r="X72">
        <f t="shared" si="9"/>
        <v>3.2606903709054134E-2</v>
      </c>
      <c r="Y72">
        <f t="shared" si="9"/>
        <v>3.7072169652070108E-2</v>
      </c>
      <c r="Z72">
        <f t="shared" si="9"/>
        <v>3.6069530312289294E-2</v>
      </c>
      <c r="AA72">
        <f t="shared" si="9"/>
        <v>0.41381211654155237</v>
      </c>
      <c r="AB72">
        <f t="shared" si="9"/>
        <v>0.10685309097469972</v>
      </c>
      <c r="AC72">
        <f t="shared" si="9"/>
        <v>7.4430720830782185E-2</v>
      </c>
      <c r="AD72">
        <f t="shared" si="9"/>
        <v>0.25243535336223977</v>
      </c>
    </row>
    <row r="73" spans="3:30" x14ac:dyDescent="0.3">
      <c r="C73" t="s">
        <v>36</v>
      </c>
      <c r="D73" t="s">
        <v>47</v>
      </c>
      <c r="E73" s="3">
        <f t="shared" ref="E73:AD73" si="10">ROUND(AVERAGE(E4:E63),3)</f>
        <v>0.35799999999999998</v>
      </c>
      <c r="F73" s="3">
        <f t="shared" si="10"/>
        <v>0.46200000000000002</v>
      </c>
      <c r="G73" s="3">
        <f t="shared" si="10"/>
        <v>0.57299999999999995</v>
      </c>
      <c r="H73" s="3">
        <f t="shared" si="10"/>
        <v>0.67100000000000004</v>
      </c>
      <c r="I73" s="3">
        <f t="shared" si="10"/>
        <v>0.75800000000000001</v>
      </c>
      <c r="J73" s="3">
        <f t="shared" si="10"/>
        <v>0.83699999999999997</v>
      </c>
      <c r="K73" s="3">
        <f t="shared" si="10"/>
        <v>0.89600000000000002</v>
      </c>
      <c r="L73" s="3">
        <f t="shared" si="10"/>
        <v>0.95099999999999996</v>
      </c>
      <c r="M73" s="3">
        <f t="shared" si="10"/>
        <v>0.996</v>
      </c>
      <c r="N73" s="3">
        <f t="shared" si="10"/>
        <v>1.026</v>
      </c>
      <c r="O73" s="3">
        <f t="shared" si="10"/>
        <v>1.054</v>
      </c>
      <c r="P73" s="3">
        <f t="shared" si="10"/>
        <v>1.077</v>
      </c>
      <c r="Q73" s="3">
        <f t="shared" si="10"/>
        <v>1.0780000000000001</v>
      </c>
      <c r="R73" s="3">
        <f t="shared" si="10"/>
        <v>1.1120000000000001</v>
      </c>
      <c r="S73" s="3">
        <f t="shared" si="10"/>
        <v>1.127</v>
      </c>
      <c r="T73" s="3">
        <f t="shared" si="10"/>
        <v>1.141</v>
      </c>
      <c r="U73" s="3">
        <f t="shared" si="10"/>
        <v>1.1479999999999999</v>
      </c>
      <c r="V73" s="3">
        <f t="shared" si="10"/>
        <v>1.1519999999999999</v>
      </c>
      <c r="W73" s="3">
        <f t="shared" si="10"/>
        <v>1.1539999999999999</v>
      </c>
      <c r="X73" s="3">
        <f t="shared" si="10"/>
        <v>1.1559999999999999</v>
      </c>
      <c r="Y73" s="3">
        <f t="shared" si="10"/>
        <v>1.1579999999999999</v>
      </c>
      <c r="Z73" s="3">
        <f t="shared" si="10"/>
        <v>1.1659999999999999</v>
      </c>
      <c r="AA73" s="3">
        <f t="shared" si="10"/>
        <v>1.1539999999999999</v>
      </c>
      <c r="AB73" s="3">
        <f t="shared" si="10"/>
        <v>1.179</v>
      </c>
      <c r="AC73" s="3">
        <f t="shared" si="10"/>
        <v>1.1819999999999999</v>
      </c>
      <c r="AD73" s="3">
        <f t="shared" si="10"/>
        <v>29.271999999999998</v>
      </c>
    </row>
    <row r="74" spans="3:30" x14ac:dyDescent="0.3">
      <c r="C74" t="s">
        <v>45</v>
      </c>
      <c r="D74" t="s">
        <v>46</v>
      </c>
      <c r="E74" s="3">
        <f t="shared" ref="E74:AD74" si="11">ROUND(TRIMMEAN(E4:E63,0.1),3)</f>
        <v>0.35699999999999998</v>
      </c>
      <c r="F74" s="3">
        <f t="shared" si="11"/>
        <v>0.46200000000000002</v>
      </c>
      <c r="G74" s="3">
        <f t="shared" si="11"/>
        <v>0.57299999999999995</v>
      </c>
      <c r="H74" s="3">
        <f t="shared" si="11"/>
        <v>0.67100000000000004</v>
      </c>
      <c r="I74" s="3">
        <f t="shared" si="11"/>
        <v>0.75800000000000001</v>
      </c>
      <c r="J74" s="3">
        <f t="shared" si="11"/>
        <v>0.83699999999999997</v>
      </c>
      <c r="K74" s="3">
        <f t="shared" si="11"/>
        <v>0.89600000000000002</v>
      </c>
      <c r="L74" s="3">
        <f t="shared" si="11"/>
        <v>0.95099999999999996</v>
      </c>
      <c r="M74" s="3">
        <f t="shared" si="11"/>
        <v>0.996</v>
      </c>
      <c r="N74" s="3">
        <f t="shared" si="11"/>
        <v>1.026</v>
      </c>
      <c r="O74" s="3">
        <f t="shared" si="11"/>
        <v>1.0529999999999999</v>
      </c>
      <c r="P74" s="3">
        <f t="shared" si="11"/>
        <v>1.077</v>
      </c>
      <c r="Q74" s="3">
        <f t="shared" si="11"/>
        <v>1.0940000000000001</v>
      </c>
      <c r="R74" s="3">
        <f t="shared" si="11"/>
        <v>1.1120000000000001</v>
      </c>
      <c r="S74" s="3">
        <f t="shared" si="11"/>
        <v>1.127</v>
      </c>
      <c r="T74" s="3">
        <f t="shared" si="11"/>
        <v>1.141</v>
      </c>
      <c r="U74" s="3">
        <f t="shared" si="11"/>
        <v>1.147</v>
      </c>
      <c r="V74" s="3">
        <f t="shared" si="11"/>
        <v>1.1519999999999999</v>
      </c>
      <c r="W74" s="3">
        <f t="shared" si="11"/>
        <v>1.153</v>
      </c>
      <c r="X74" s="3">
        <f t="shared" si="11"/>
        <v>1.1559999999999999</v>
      </c>
      <c r="Y74" s="3">
        <f t="shared" si="11"/>
        <v>1.1579999999999999</v>
      </c>
      <c r="Z74" s="3">
        <f t="shared" si="11"/>
        <v>1.1659999999999999</v>
      </c>
      <c r="AA74" s="3">
        <f t="shared" si="11"/>
        <v>1.171</v>
      </c>
      <c r="AB74" s="3">
        <f t="shared" si="11"/>
        <v>1.175</v>
      </c>
      <c r="AC74" s="3">
        <f t="shared" si="11"/>
        <v>1.18</v>
      </c>
      <c r="AD74" s="3">
        <f t="shared" si="11"/>
        <v>29.274000000000001</v>
      </c>
    </row>
    <row r="75" spans="3:30" x14ac:dyDescent="0.3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3:30" x14ac:dyDescent="0.3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3:30" x14ac:dyDescent="0.3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3:30" x14ac:dyDescent="0.3">
      <c r="E78" s="3"/>
    </row>
    <row r="79" spans="3:30" x14ac:dyDescent="0.3">
      <c r="E79" s="3"/>
    </row>
    <row r="80" spans="3:30" x14ac:dyDescent="0.3">
      <c r="E80" s="7"/>
      <c r="F80" s="7"/>
    </row>
    <row r="81" spans="5:6" x14ac:dyDescent="0.3">
      <c r="E81" s="8"/>
      <c r="F81" s="6"/>
    </row>
    <row r="82" spans="5:6" x14ac:dyDescent="0.3">
      <c r="E82" s="8"/>
      <c r="F82" s="6"/>
    </row>
    <row r="83" spans="5:6" x14ac:dyDescent="0.3">
      <c r="E83" s="8"/>
      <c r="F83" s="6"/>
    </row>
    <row r="84" spans="5:6" x14ac:dyDescent="0.3">
      <c r="E84" s="8"/>
      <c r="F84" s="6"/>
    </row>
    <row r="85" spans="5:6" x14ac:dyDescent="0.3">
      <c r="E85" s="8"/>
      <c r="F85" s="6"/>
    </row>
    <row r="86" spans="5:6" x14ac:dyDescent="0.3">
      <c r="E86" s="8"/>
      <c r="F86" s="6"/>
    </row>
    <row r="87" spans="5:6" x14ac:dyDescent="0.3">
      <c r="E87" s="8"/>
      <c r="F87" s="6"/>
    </row>
  </sheetData>
  <mergeCells count="6">
    <mergeCell ref="C4:C63"/>
    <mergeCell ref="A4:B63"/>
    <mergeCell ref="E2:AD2"/>
    <mergeCell ref="A2:B3"/>
    <mergeCell ref="C2:C3"/>
    <mergeCell ref="D2:D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D09B-F463-430E-804D-7F23AA567544}">
  <dimension ref="A1:AD87"/>
  <sheetViews>
    <sheetView zoomScale="85" zoomScaleNormal="85" workbookViewId="0">
      <pane xSplit="3" ySplit="3" topLeftCell="D44" activePane="bottomRight" state="frozen"/>
      <selection pane="topRight" activeCell="D1" sqref="D1"/>
      <selection pane="bottomLeft" activeCell="A4" sqref="A4"/>
      <selection pane="bottomRight" activeCell="I77" sqref="I77"/>
    </sheetView>
  </sheetViews>
  <sheetFormatPr defaultRowHeight="16.5" x14ac:dyDescent="0.3"/>
  <cols>
    <col min="3" max="3" width="17.5" customWidth="1"/>
    <col min="4" max="4" width="11.375" bestFit="1" customWidth="1"/>
    <col min="5" max="26" width="10.375" bestFit="1" customWidth="1"/>
    <col min="27" max="27" width="8.875" customWidth="1"/>
    <col min="28" max="29" width="10.375" bestFit="1" customWidth="1"/>
    <col min="30" max="30" width="11.625" bestFit="1" customWidth="1"/>
  </cols>
  <sheetData>
    <row r="1" spans="1:30" x14ac:dyDescent="0.3">
      <c r="X1" s="4"/>
    </row>
    <row r="2" spans="1:30" ht="20.100000000000001" customHeight="1" x14ac:dyDescent="0.3">
      <c r="A2" s="9" t="s">
        <v>1</v>
      </c>
      <c r="B2" s="10"/>
      <c r="C2" s="9" t="s">
        <v>3</v>
      </c>
      <c r="D2" s="11" t="s">
        <v>34</v>
      </c>
      <c r="E2" s="11" t="s">
        <v>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20.100000000000001" customHeight="1" x14ac:dyDescent="0.3">
      <c r="A3" s="9"/>
      <c r="B3" s="10"/>
      <c r="C3" s="9"/>
      <c r="D3" s="11"/>
      <c r="E3" s="2" t="s">
        <v>5</v>
      </c>
      <c r="F3" s="2" t="s">
        <v>35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7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0</v>
      </c>
    </row>
    <row r="4" spans="1:30" ht="16.5" customHeight="1" x14ac:dyDescent="0.3">
      <c r="A4" s="12" t="s">
        <v>33</v>
      </c>
      <c r="B4" s="12"/>
      <c r="C4" s="12" t="s">
        <v>4</v>
      </c>
      <c r="D4" s="1">
        <v>1</v>
      </c>
      <c r="E4" s="5">
        <v>0.504</v>
      </c>
      <c r="F4" s="5">
        <v>0.58199999999999996</v>
      </c>
      <c r="G4" s="5">
        <v>0.67700000000000005</v>
      </c>
      <c r="H4" s="5">
        <v>0.77300000000000002</v>
      </c>
      <c r="I4" s="5">
        <v>0.83199999999999996</v>
      </c>
      <c r="J4" s="5">
        <v>0.874</v>
      </c>
      <c r="K4" s="5">
        <v>0.92200000000000004</v>
      </c>
      <c r="L4" s="5">
        <v>0.96299999999999997</v>
      </c>
      <c r="M4" s="5">
        <v>0.999</v>
      </c>
      <c r="N4" s="5">
        <v>1.042</v>
      </c>
      <c r="O4" s="5">
        <v>1.077</v>
      </c>
      <c r="P4" s="5">
        <v>1.097</v>
      </c>
      <c r="Q4" s="5">
        <v>1.1060000000000001</v>
      </c>
      <c r="R4" s="5">
        <v>1.123</v>
      </c>
      <c r="S4" s="5">
        <v>1.139</v>
      </c>
      <c r="T4" s="5">
        <v>1.1499999999999999</v>
      </c>
      <c r="U4" s="5">
        <v>1.155</v>
      </c>
      <c r="V4" s="5">
        <v>1.1559999999999999</v>
      </c>
      <c r="W4" s="5">
        <v>1.153</v>
      </c>
      <c r="X4" s="5">
        <v>1.1599999999999999</v>
      </c>
      <c r="Y4" s="5">
        <v>1.1679999999999999</v>
      </c>
      <c r="Z4" s="5">
        <v>1.159</v>
      </c>
      <c r="AA4" s="5">
        <v>1.228</v>
      </c>
      <c r="AB4" s="5">
        <v>1.1679999999999999</v>
      </c>
      <c r="AC4" s="5">
        <v>1.175</v>
      </c>
      <c r="AD4" s="5">
        <v>29.638000000000002</v>
      </c>
    </row>
    <row r="5" spans="1:30" ht="16.5" customHeight="1" x14ac:dyDescent="0.3">
      <c r="A5" s="12"/>
      <c r="B5" s="12"/>
      <c r="C5" s="12"/>
      <c r="D5" s="1">
        <v>2</v>
      </c>
      <c r="E5" s="5">
        <v>0.52300000000000002</v>
      </c>
      <c r="F5" s="5">
        <v>0.60599999999999998</v>
      </c>
      <c r="G5" s="5">
        <v>0.71699999999999997</v>
      </c>
      <c r="H5" s="5">
        <v>0.77400000000000002</v>
      </c>
      <c r="I5" s="5">
        <v>0.82899999999999996</v>
      </c>
      <c r="J5" s="5">
        <v>0.878</v>
      </c>
      <c r="K5" s="5">
        <v>0.92400000000000004</v>
      </c>
      <c r="L5" s="5">
        <v>0.96</v>
      </c>
      <c r="M5" s="5">
        <v>1.0049999999999999</v>
      </c>
      <c r="N5" s="5">
        <v>1.0369999999999999</v>
      </c>
      <c r="O5" s="5">
        <v>1.0660000000000001</v>
      </c>
      <c r="P5" s="5">
        <v>1.097</v>
      </c>
      <c r="Q5" s="5">
        <v>1.1080000000000001</v>
      </c>
      <c r="R5" s="5">
        <v>1.1339999999999999</v>
      </c>
      <c r="S5" s="5">
        <v>1.143</v>
      </c>
      <c r="T5" s="5">
        <v>1.1419999999999999</v>
      </c>
      <c r="U5" s="5">
        <v>1.1639999999999999</v>
      </c>
      <c r="V5" s="5">
        <v>1.155</v>
      </c>
      <c r="W5" s="5">
        <v>1.149</v>
      </c>
      <c r="X5" s="5">
        <v>1.161</v>
      </c>
      <c r="Y5" s="5">
        <v>1.177</v>
      </c>
      <c r="Z5" s="5">
        <v>1.198</v>
      </c>
      <c r="AA5" s="5">
        <v>1.204</v>
      </c>
      <c r="AB5" s="5">
        <v>1.177</v>
      </c>
      <c r="AC5" s="5">
        <v>1.171</v>
      </c>
      <c r="AD5" s="5">
        <v>29.49</v>
      </c>
    </row>
    <row r="6" spans="1:30" ht="16.5" customHeight="1" x14ac:dyDescent="0.3">
      <c r="A6" s="12"/>
      <c r="B6" s="12"/>
      <c r="C6" s="12"/>
      <c r="D6" s="1">
        <v>3</v>
      </c>
      <c r="E6" s="5">
        <v>0.499</v>
      </c>
      <c r="F6" s="5">
        <v>0.58699999999999997</v>
      </c>
      <c r="G6" s="5">
        <v>0.67700000000000005</v>
      </c>
      <c r="H6" s="5">
        <v>0.76300000000000001</v>
      </c>
      <c r="I6" s="5">
        <v>0.82599999999999996</v>
      </c>
      <c r="J6" s="5">
        <v>0.877</v>
      </c>
      <c r="K6" s="5">
        <v>0.92700000000000005</v>
      </c>
      <c r="L6" s="5">
        <v>0.96499999999999997</v>
      </c>
      <c r="M6" s="5">
        <v>1.0029999999999999</v>
      </c>
      <c r="N6" s="5">
        <v>1.046</v>
      </c>
      <c r="O6" s="5">
        <v>1.0740000000000001</v>
      </c>
      <c r="P6" s="5">
        <v>1.097</v>
      </c>
      <c r="Q6" s="5">
        <v>1.113</v>
      </c>
      <c r="R6" s="5">
        <v>1.121</v>
      </c>
      <c r="S6" s="5">
        <v>1.135</v>
      </c>
      <c r="T6" s="5">
        <v>1.1519999999999999</v>
      </c>
      <c r="U6" s="5">
        <v>1.159</v>
      </c>
      <c r="V6" s="5">
        <v>1.161</v>
      </c>
      <c r="W6" s="5">
        <v>1.1459999999999999</v>
      </c>
      <c r="X6" s="5">
        <v>1.161</v>
      </c>
      <c r="Y6" s="5">
        <v>1.1599999999999999</v>
      </c>
      <c r="Z6" s="5">
        <v>1.169</v>
      </c>
      <c r="AA6" s="5">
        <v>1.1859999999999999</v>
      </c>
      <c r="AB6" s="5">
        <v>1.179</v>
      </c>
      <c r="AC6" s="5">
        <v>1.2170000000000001</v>
      </c>
      <c r="AD6" s="5">
        <v>29.602</v>
      </c>
    </row>
    <row r="7" spans="1:30" ht="16.5" customHeight="1" x14ac:dyDescent="0.3">
      <c r="A7" s="12"/>
      <c r="B7" s="12"/>
      <c r="C7" s="12"/>
      <c r="D7" s="1">
        <v>4</v>
      </c>
      <c r="E7" s="5">
        <v>0.50700000000000001</v>
      </c>
      <c r="F7" s="5">
        <v>0.58899999999999997</v>
      </c>
      <c r="G7" s="5">
        <v>0.67600000000000005</v>
      </c>
      <c r="H7" s="5">
        <v>0.75600000000000001</v>
      </c>
      <c r="I7" s="5">
        <v>0.81699999999999995</v>
      </c>
      <c r="J7" s="5">
        <v>0.86199999999999999</v>
      </c>
      <c r="K7" s="5">
        <v>0.91</v>
      </c>
      <c r="L7" s="5">
        <v>0.95499999999999996</v>
      </c>
      <c r="M7" s="5">
        <v>0.99099999999999999</v>
      </c>
      <c r="N7" s="5">
        <v>1.0249999999999999</v>
      </c>
      <c r="O7" s="5">
        <v>1.0569999999999999</v>
      </c>
      <c r="P7" s="5">
        <v>1.087</v>
      </c>
      <c r="Q7" s="5">
        <v>1.107</v>
      </c>
      <c r="R7" s="5">
        <v>1.123</v>
      </c>
      <c r="S7" s="5">
        <v>1.1299999999999999</v>
      </c>
      <c r="T7" s="5">
        <v>1.151</v>
      </c>
      <c r="U7" s="5">
        <v>1.159</v>
      </c>
      <c r="V7" s="5">
        <v>1.159</v>
      </c>
      <c r="W7" s="5">
        <v>1.159</v>
      </c>
      <c r="X7" s="5">
        <v>1.159</v>
      </c>
      <c r="Y7" s="5">
        <v>1.165</v>
      </c>
      <c r="Z7" s="5">
        <v>1.1739999999999999</v>
      </c>
      <c r="AA7" s="5">
        <v>1.179</v>
      </c>
      <c r="AB7" s="5">
        <v>1.171</v>
      </c>
      <c r="AC7" s="5">
        <v>1.19</v>
      </c>
      <c r="AD7" s="5">
        <v>29.878</v>
      </c>
    </row>
    <row r="8" spans="1:30" ht="16.5" customHeight="1" x14ac:dyDescent="0.3">
      <c r="A8" s="12"/>
      <c r="B8" s="12"/>
      <c r="C8" s="12"/>
      <c r="D8" s="1">
        <v>5</v>
      </c>
      <c r="E8" s="5">
        <v>0.52500000000000002</v>
      </c>
      <c r="F8" s="5">
        <v>0.59899999999999998</v>
      </c>
      <c r="G8" s="5">
        <v>0.69399999999999995</v>
      </c>
      <c r="H8" s="5">
        <v>0.76700000000000002</v>
      </c>
      <c r="I8" s="5">
        <v>0.82299999999999995</v>
      </c>
      <c r="J8" s="5">
        <v>0.86899999999999999</v>
      </c>
      <c r="K8" s="5">
        <v>0.91600000000000004</v>
      </c>
      <c r="L8" s="5">
        <v>0.96099999999999997</v>
      </c>
      <c r="M8" s="5">
        <v>0.999</v>
      </c>
      <c r="N8" s="5">
        <v>1.0349999999999999</v>
      </c>
      <c r="O8" s="5">
        <v>1.0549999999999999</v>
      </c>
      <c r="P8" s="5">
        <v>1.091</v>
      </c>
      <c r="Q8" s="5">
        <v>1.095</v>
      </c>
      <c r="R8" s="5">
        <v>1.115</v>
      </c>
      <c r="S8" s="5">
        <v>1.1240000000000001</v>
      </c>
      <c r="T8" s="5">
        <v>1.137</v>
      </c>
      <c r="U8" s="5">
        <v>1.1479999999999999</v>
      </c>
      <c r="V8" s="5">
        <v>1.145</v>
      </c>
      <c r="W8" s="5">
        <v>1.149</v>
      </c>
      <c r="X8" s="5">
        <v>1.1439999999999999</v>
      </c>
      <c r="Y8" s="5">
        <v>1.179</v>
      </c>
      <c r="Z8" s="5">
        <v>1.181</v>
      </c>
      <c r="AA8" s="5">
        <v>1.194</v>
      </c>
      <c r="AB8" s="5">
        <v>1.204</v>
      </c>
      <c r="AC8" s="5">
        <v>1.2010000000000001</v>
      </c>
      <c r="AD8" s="5">
        <v>29.919</v>
      </c>
    </row>
    <row r="9" spans="1:30" ht="16.5" customHeight="1" x14ac:dyDescent="0.3">
      <c r="A9" s="12"/>
      <c r="B9" s="12"/>
      <c r="C9" s="12"/>
      <c r="D9" s="1">
        <v>6</v>
      </c>
      <c r="E9" s="5">
        <v>0.52400000000000002</v>
      </c>
      <c r="F9" s="5">
        <v>0.59899999999999998</v>
      </c>
      <c r="G9" s="5">
        <v>0.68799999999999994</v>
      </c>
      <c r="H9" s="5">
        <v>0.77</v>
      </c>
      <c r="I9" s="5">
        <v>0.82599999999999996</v>
      </c>
      <c r="J9" s="5">
        <v>0.86899999999999999</v>
      </c>
      <c r="K9" s="5">
        <v>0.92700000000000005</v>
      </c>
      <c r="L9" s="5">
        <v>0.96499999999999997</v>
      </c>
      <c r="M9" s="5">
        <v>1.0009999999999999</v>
      </c>
      <c r="N9" s="5">
        <v>1.032</v>
      </c>
      <c r="O9" s="5">
        <v>1.0620000000000001</v>
      </c>
      <c r="P9" s="5">
        <v>1.091</v>
      </c>
      <c r="Q9" s="5">
        <v>1.101</v>
      </c>
      <c r="R9" s="5">
        <v>1.1180000000000001</v>
      </c>
      <c r="S9" s="5">
        <v>1.175</v>
      </c>
      <c r="T9" s="5">
        <v>1.151</v>
      </c>
      <c r="U9" s="5">
        <v>1.1599999999999999</v>
      </c>
      <c r="V9" s="5">
        <v>1.157</v>
      </c>
      <c r="W9" s="5">
        <v>1.169</v>
      </c>
      <c r="X9" s="5">
        <v>1.1619999999999999</v>
      </c>
      <c r="Y9" s="5">
        <v>1.163</v>
      </c>
      <c r="Z9" s="5">
        <v>1.1850000000000001</v>
      </c>
      <c r="AA9" s="5">
        <v>1.1859999999999999</v>
      </c>
      <c r="AB9" s="5">
        <v>1.1850000000000001</v>
      </c>
      <c r="AC9" s="5">
        <v>1.202</v>
      </c>
      <c r="AD9" s="5">
        <v>29.553999999999998</v>
      </c>
    </row>
    <row r="10" spans="1:30" ht="16.5" customHeight="1" x14ac:dyDescent="0.3">
      <c r="A10" s="12"/>
      <c r="B10" s="12"/>
      <c r="C10" s="12"/>
      <c r="D10" s="1">
        <v>7</v>
      </c>
      <c r="E10" s="5">
        <v>0.498</v>
      </c>
      <c r="F10" s="5">
        <v>0.59</v>
      </c>
      <c r="G10" s="5">
        <v>0.67700000000000005</v>
      </c>
      <c r="H10" s="5">
        <v>0.76600000000000001</v>
      </c>
      <c r="I10" s="5">
        <v>0.82499999999999996</v>
      </c>
      <c r="J10" s="5">
        <v>0.86899999999999999</v>
      </c>
      <c r="K10" s="5">
        <v>0.91900000000000004</v>
      </c>
      <c r="L10" s="5">
        <v>0.95499999999999996</v>
      </c>
      <c r="M10" s="5">
        <v>0.996</v>
      </c>
      <c r="N10" s="5">
        <v>1.032</v>
      </c>
      <c r="O10" s="5">
        <v>1.0620000000000001</v>
      </c>
      <c r="P10" s="5">
        <v>1.0920000000000001</v>
      </c>
      <c r="Q10" s="5">
        <v>1.103</v>
      </c>
      <c r="R10" s="5">
        <v>1.113</v>
      </c>
      <c r="S10" s="5">
        <v>1.133</v>
      </c>
      <c r="T10" s="5">
        <v>1.1519999999999999</v>
      </c>
      <c r="U10" s="5">
        <v>1.155</v>
      </c>
      <c r="V10" s="5">
        <v>1.147</v>
      </c>
      <c r="W10" s="5">
        <v>1.1539999999999999</v>
      </c>
      <c r="X10" s="5">
        <v>1.1619999999999999</v>
      </c>
      <c r="Y10" s="5">
        <v>1.167</v>
      </c>
      <c r="Z10" s="5">
        <v>1.19</v>
      </c>
      <c r="AA10" s="5">
        <v>1.1839999999999999</v>
      </c>
      <c r="AB10" s="5">
        <v>1.173</v>
      </c>
      <c r="AC10" s="5">
        <v>1.18</v>
      </c>
      <c r="AD10" s="5">
        <v>29.707999999999998</v>
      </c>
    </row>
    <row r="11" spans="1:30" ht="16.5" customHeight="1" x14ac:dyDescent="0.3">
      <c r="A11" s="12"/>
      <c r="B11" s="12"/>
      <c r="C11" s="12"/>
      <c r="D11" s="1">
        <v>8</v>
      </c>
      <c r="E11" s="5">
        <v>0.53600000000000003</v>
      </c>
      <c r="F11" s="5">
        <v>0.60399999999999998</v>
      </c>
      <c r="G11" s="5">
        <v>0.69</v>
      </c>
      <c r="H11" s="5">
        <v>0.77300000000000002</v>
      </c>
      <c r="I11" s="5">
        <v>0.82599999999999996</v>
      </c>
      <c r="J11" s="5">
        <v>0.879</v>
      </c>
      <c r="K11" s="5">
        <v>0.93100000000000005</v>
      </c>
      <c r="L11" s="5">
        <v>0.96599999999999997</v>
      </c>
      <c r="M11" s="5">
        <v>1.0029999999999999</v>
      </c>
      <c r="N11" s="5">
        <v>1.0349999999999999</v>
      </c>
      <c r="O11" s="5">
        <v>1.0629999999999999</v>
      </c>
      <c r="P11" s="5">
        <v>1.0880000000000001</v>
      </c>
      <c r="Q11" s="5">
        <v>1.0940000000000001</v>
      </c>
      <c r="R11" s="5">
        <v>1.111</v>
      </c>
      <c r="S11" s="5">
        <v>1.1279999999999999</v>
      </c>
      <c r="T11" s="5">
        <v>1.1339999999999999</v>
      </c>
      <c r="U11" s="5">
        <v>1.1399999999999999</v>
      </c>
      <c r="V11" s="5">
        <v>1.1439999999999999</v>
      </c>
      <c r="W11" s="5">
        <v>1.1459999999999999</v>
      </c>
      <c r="X11" s="5">
        <v>1.1499999999999999</v>
      </c>
      <c r="Y11" s="5">
        <v>1.1499999999999999</v>
      </c>
      <c r="Z11" s="5">
        <v>1.1679999999999999</v>
      </c>
      <c r="AA11" s="5">
        <v>1.18</v>
      </c>
      <c r="AB11" s="5">
        <v>1.1639999999999999</v>
      </c>
      <c r="AC11" s="5">
        <v>1.1859999999999999</v>
      </c>
      <c r="AD11" s="5">
        <v>29.129000000000001</v>
      </c>
    </row>
    <row r="12" spans="1:30" ht="16.5" customHeight="1" x14ac:dyDescent="0.3">
      <c r="A12" s="12"/>
      <c r="B12" s="12"/>
      <c r="C12" s="12"/>
      <c r="D12" s="1">
        <v>9</v>
      </c>
      <c r="E12" s="5">
        <v>0.54500000000000004</v>
      </c>
      <c r="F12" s="5">
        <v>0.61799999999999999</v>
      </c>
      <c r="G12" s="5">
        <v>0.71499999999999997</v>
      </c>
      <c r="H12" s="5">
        <v>0.78900000000000003</v>
      </c>
      <c r="I12" s="5">
        <v>0.84099999999999997</v>
      </c>
      <c r="J12" s="5">
        <v>0.89800000000000002</v>
      </c>
      <c r="K12" s="5">
        <v>0.94</v>
      </c>
      <c r="L12" s="5">
        <v>0.97199999999999998</v>
      </c>
      <c r="M12" s="5">
        <v>1.0089999999999999</v>
      </c>
      <c r="N12" s="5">
        <v>1.052</v>
      </c>
      <c r="O12" s="5">
        <v>1.0740000000000001</v>
      </c>
      <c r="P12" s="5">
        <v>1.101</v>
      </c>
      <c r="Q12" s="5">
        <v>1.113</v>
      </c>
      <c r="R12" s="5">
        <v>1.1220000000000001</v>
      </c>
      <c r="S12" s="5">
        <v>1.137</v>
      </c>
      <c r="T12" s="5">
        <v>1.153</v>
      </c>
      <c r="U12" s="5">
        <v>1.163</v>
      </c>
      <c r="V12" s="5">
        <v>1.1779999999999999</v>
      </c>
      <c r="W12" s="5">
        <v>1.19</v>
      </c>
      <c r="X12" s="5">
        <v>1.181</v>
      </c>
      <c r="Y12" s="5">
        <v>1.194</v>
      </c>
      <c r="Z12" s="5">
        <v>1.2290000000000001</v>
      </c>
      <c r="AA12" s="5">
        <v>1.206</v>
      </c>
      <c r="AB12" s="5">
        <v>1.194</v>
      </c>
      <c r="AC12" s="5">
        <v>1.19</v>
      </c>
      <c r="AD12" s="5">
        <v>29.678999999999998</v>
      </c>
    </row>
    <row r="13" spans="1:30" ht="16.5" customHeight="1" x14ac:dyDescent="0.3">
      <c r="A13" s="12"/>
      <c r="B13" s="12"/>
      <c r="C13" s="12"/>
      <c r="D13" s="1">
        <v>10</v>
      </c>
      <c r="E13" s="5">
        <v>0.55500000000000005</v>
      </c>
      <c r="F13" s="5">
        <v>0.61399999999999999</v>
      </c>
      <c r="G13" s="5">
        <v>0.69499999999999995</v>
      </c>
      <c r="H13" s="5">
        <v>0.77500000000000002</v>
      </c>
      <c r="I13" s="5">
        <v>0.83699999999999997</v>
      </c>
      <c r="J13" s="5">
        <v>0.88600000000000001</v>
      </c>
      <c r="K13" s="5">
        <v>0.93400000000000005</v>
      </c>
      <c r="L13" s="5">
        <v>0.97299999999999998</v>
      </c>
      <c r="M13" s="5">
        <v>1.0089999999999999</v>
      </c>
      <c r="N13" s="5">
        <v>1.048</v>
      </c>
      <c r="O13" s="5">
        <v>1.0740000000000001</v>
      </c>
      <c r="P13" s="5">
        <v>1.1000000000000001</v>
      </c>
      <c r="Q13" s="5">
        <v>1.1120000000000001</v>
      </c>
      <c r="R13" s="5">
        <v>1.121</v>
      </c>
      <c r="S13" s="5">
        <v>1.1339999999999999</v>
      </c>
      <c r="T13" s="5">
        <v>1.143</v>
      </c>
      <c r="U13" s="5">
        <v>1.155</v>
      </c>
      <c r="V13" s="5">
        <v>1.17</v>
      </c>
      <c r="W13" s="5">
        <v>1.1659999999999999</v>
      </c>
      <c r="X13" s="5">
        <v>1.1639999999999999</v>
      </c>
      <c r="Y13" s="5">
        <v>1.171</v>
      </c>
      <c r="Z13" s="5">
        <v>1.202</v>
      </c>
      <c r="AA13" s="5">
        <v>1.222</v>
      </c>
      <c r="AB13" s="5">
        <v>1.1930000000000001</v>
      </c>
      <c r="AC13" s="5">
        <v>1.2170000000000001</v>
      </c>
      <c r="AD13" s="5">
        <v>29.585000000000001</v>
      </c>
    </row>
    <row r="14" spans="1:30" ht="16.5" customHeight="1" x14ac:dyDescent="0.3">
      <c r="A14" s="12"/>
      <c r="B14" s="12"/>
      <c r="C14" s="12"/>
      <c r="D14" s="1">
        <v>11</v>
      </c>
      <c r="E14" s="5">
        <v>0.498</v>
      </c>
      <c r="F14" s="5">
        <v>0.57799999999999996</v>
      </c>
      <c r="G14" s="5">
        <v>0.66</v>
      </c>
      <c r="H14" s="5">
        <v>0.73699999999999999</v>
      </c>
      <c r="I14" s="5">
        <v>0.81699999999999995</v>
      </c>
      <c r="J14" s="5">
        <v>0.85</v>
      </c>
      <c r="K14" s="5">
        <v>0.9</v>
      </c>
      <c r="L14" s="5">
        <v>0.94499999999999995</v>
      </c>
      <c r="M14" s="5">
        <v>0.995</v>
      </c>
      <c r="N14" s="5">
        <v>1.0249999999999999</v>
      </c>
      <c r="O14" s="5">
        <v>1.0640000000000001</v>
      </c>
      <c r="P14" s="5">
        <v>1.0860000000000001</v>
      </c>
      <c r="Q14" s="5">
        <v>1.0980000000000001</v>
      </c>
      <c r="R14" s="5">
        <v>1.1220000000000001</v>
      </c>
      <c r="S14" s="5">
        <v>1.135</v>
      </c>
      <c r="T14" s="5">
        <v>1.135</v>
      </c>
      <c r="U14" s="5">
        <v>1.137</v>
      </c>
      <c r="V14" s="5">
        <v>1.145</v>
      </c>
      <c r="W14" s="5">
        <v>1.1339999999999999</v>
      </c>
      <c r="X14" s="5">
        <v>1.157</v>
      </c>
      <c r="Y14" s="5">
        <v>1.1619999999999999</v>
      </c>
      <c r="Z14" s="5">
        <v>1.17</v>
      </c>
      <c r="AA14" s="5">
        <v>1.1819999999999999</v>
      </c>
      <c r="AB14" s="5">
        <v>1.165</v>
      </c>
      <c r="AC14" s="5">
        <v>1.1839999999999999</v>
      </c>
      <c r="AD14" s="5">
        <v>29.748999999999999</v>
      </c>
    </row>
    <row r="15" spans="1:30" ht="16.5" customHeight="1" x14ac:dyDescent="0.3">
      <c r="A15" s="12"/>
      <c r="B15" s="12"/>
      <c r="C15" s="12"/>
      <c r="D15" s="1">
        <v>12</v>
      </c>
      <c r="E15" s="5">
        <v>0.54400000000000004</v>
      </c>
      <c r="F15" s="5">
        <v>0.60899999999999999</v>
      </c>
      <c r="G15" s="5">
        <v>0.69899999999999995</v>
      </c>
      <c r="H15" s="5">
        <v>0.77800000000000002</v>
      </c>
      <c r="I15" s="5">
        <v>0.83599999999999997</v>
      </c>
      <c r="J15" s="5">
        <v>0.88500000000000001</v>
      </c>
      <c r="K15" s="5">
        <v>0.92700000000000005</v>
      </c>
      <c r="L15" s="5">
        <v>0.97299999999999998</v>
      </c>
      <c r="M15" s="5">
        <v>1.014</v>
      </c>
      <c r="N15" s="5">
        <v>1.0409999999999999</v>
      </c>
      <c r="O15" s="5">
        <v>1.0660000000000001</v>
      </c>
      <c r="P15" s="5">
        <v>1.093</v>
      </c>
      <c r="Q15" s="5">
        <v>1.1060000000000001</v>
      </c>
      <c r="R15" s="5">
        <v>1.119</v>
      </c>
      <c r="S15" s="5">
        <v>1.137</v>
      </c>
      <c r="T15" s="5">
        <v>1.143</v>
      </c>
      <c r="U15" s="5">
        <v>1.1519999999999999</v>
      </c>
      <c r="V15" s="5">
        <v>1.159</v>
      </c>
      <c r="W15" s="5">
        <v>1.155</v>
      </c>
      <c r="X15" s="5">
        <v>1.153</v>
      </c>
      <c r="Y15" s="5">
        <v>1.1619999999999999</v>
      </c>
      <c r="Z15" s="5">
        <v>1.175</v>
      </c>
      <c r="AA15" s="5">
        <v>1.19</v>
      </c>
      <c r="AB15" s="5">
        <v>1.1759999999999999</v>
      </c>
      <c r="AC15" s="5">
        <v>1.1859999999999999</v>
      </c>
      <c r="AD15" s="5">
        <v>29.922999999999998</v>
      </c>
    </row>
    <row r="16" spans="1:30" ht="16.5" customHeight="1" x14ac:dyDescent="0.3">
      <c r="A16" s="12"/>
      <c r="B16" s="12"/>
      <c r="C16" s="12"/>
      <c r="D16" s="1">
        <v>13</v>
      </c>
      <c r="E16" s="5">
        <v>0.52200000000000002</v>
      </c>
      <c r="F16" s="5">
        <v>0.59899999999999998</v>
      </c>
      <c r="G16" s="5">
        <v>0.68600000000000005</v>
      </c>
      <c r="H16" s="5">
        <v>0.77200000000000002</v>
      </c>
      <c r="I16" s="5">
        <v>0.83199999999999996</v>
      </c>
      <c r="J16" s="5">
        <v>0.879</v>
      </c>
      <c r="K16" s="5">
        <v>0.92500000000000004</v>
      </c>
      <c r="L16" s="5">
        <v>0.95899999999999996</v>
      </c>
      <c r="M16" s="5">
        <v>1.006</v>
      </c>
      <c r="N16" s="5">
        <v>1.04</v>
      </c>
      <c r="O16" s="5">
        <v>1.0720000000000001</v>
      </c>
      <c r="P16" s="5">
        <v>1.101</v>
      </c>
      <c r="Q16" s="5">
        <v>1.1100000000000001</v>
      </c>
      <c r="R16" s="5">
        <v>1.1319999999999999</v>
      </c>
      <c r="S16" s="5">
        <v>1.1439999999999999</v>
      </c>
      <c r="T16" s="5">
        <v>1.1399999999999999</v>
      </c>
      <c r="U16" s="5">
        <v>1.147</v>
      </c>
      <c r="V16" s="5">
        <v>1.147</v>
      </c>
      <c r="W16" s="5">
        <v>1.157</v>
      </c>
      <c r="X16" s="5">
        <v>1.155</v>
      </c>
      <c r="Y16" s="5">
        <v>1.1559999999999999</v>
      </c>
      <c r="Z16" s="5">
        <v>1.1539999999999999</v>
      </c>
      <c r="AA16" s="5">
        <v>1.163</v>
      </c>
      <c r="AB16" s="5">
        <v>1.1559999999999999</v>
      </c>
      <c r="AC16" s="5">
        <v>1.161</v>
      </c>
      <c r="AD16" s="5">
        <v>29.702999999999999</v>
      </c>
    </row>
    <row r="17" spans="1:30" ht="16.5" customHeight="1" x14ac:dyDescent="0.3">
      <c r="A17" s="12"/>
      <c r="B17" s="12"/>
      <c r="C17" s="12"/>
      <c r="D17" s="1">
        <v>14</v>
      </c>
      <c r="E17" s="5">
        <v>0.53600000000000003</v>
      </c>
      <c r="F17" s="5">
        <v>0.60699999999999998</v>
      </c>
      <c r="G17" s="5">
        <v>0.68700000000000006</v>
      </c>
      <c r="H17" s="5">
        <v>0.77700000000000002</v>
      </c>
      <c r="I17" s="5">
        <v>0.83899999999999997</v>
      </c>
      <c r="J17" s="5">
        <v>0.88200000000000001</v>
      </c>
      <c r="K17" s="5">
        <v>0.92400000000000004</v>
      </c>
      <c r="L17" s="5">
        <v>0.96699999999999997</v>
      </c>
      <c r="M17" s="5">
        <v>1.0029999999999999</v>
      </c>
      <c r="N17" s="5">
        <v>1.034</v>
      </c>
      <c r="O17" s="5">
        <v>1.0640000000000001</v>
      </c>
      <c r="P17" s="5">
        <v>1.093</v>
      </c>
      <c r="Q17" s="5">
        <v>1.105</v>
      </c>
      <c r="R17" s="5">
        <v>1.115</v>
      </c>
      <c r="S17" s="5">
        <v>1.1299999999999999</v>
      </c>
      <c r="T17" s="5">
        <v>1.1419999999999999</v>
      </c>
      <c r="U17" s="5">
        <v>1.1479999999999999</v>
      </c>
      <c r="V17" s="5">
        <v>1.157</v>
      </c>
      <c r="W17" s="5">
        <v>1.1559999999999999</v>
      </c>
      <c r="X17" s="5">
        <v>1.149</v>
      </c>
      <c r="Y17" s="5">
        <v>1.155</v>
      </c>
      <c r="Z17" s="5">
        <v>1.1679999999999999</v>
      </c>
      <c r="AA17" s="5">
        <v>1.1850000000000001</v>
      </c>
      <c r="AB17" s="5">
        <v>1.175</v>
      </c>
      <c r="AC17" s="5">
        <v>1.1859999999999999</v>
      </c>
      <c r="AD17" s="5">
        <v>29.835000000000001</v>
      </c>
    </row>
    <row r="18" spans="1:30" ht="16.5" customHeight="1" x14ac:dyDescent="0.3">
      <c r="A18" s="12"/>
      <c r="B18" s="12"/>
      <c r="C18" s="12"/>
      <c r="D18" s="1">
        <v>15</v>
      </c>
      <c r="E18" s="5">
        <v>0.52</v>
      </c>
      <c r="F18" s="5">
        <v>0.60299999999999998</v>
      </c>
      <c r="G18" s="5">
        <v>0.69499999999999995</v>
      </c>
      <c r="H18" s="5">
        <v>0.77500000000000002</v>
      </c>
      <c r="I18" s="5">
        <v>0.83299999999999996</v>
      </c>
      <c r="J18" s="5">
        <v>0.876</v>
      </c>
      <c r="K18" s="5">
        <v>0.92</v>
      </c>
      <c r="L18" s="5">
        <v>0.96499999999999997</v>
      </c>
      <c r="M18" s="5">
        <v>1.01</v>
      </c>
      <c r="N18" s="5">
        <v>1.038</v>
      </c>
      <c r="O18" s="5">
        <v>1.0669999999999999</v>
      </c>
      <c r="P18" s="5">
        <v>1.0980000000000001</v>
      </c>
      <c r="Q18" s="5">
        <v>1.1060000000000001</v>
      </c>
      <c r="R18" s="5">
        <v>1.131</v>
      </c>
      <c r="S18" s="5">
        <v>1.1459999999999999</v>
      </c>
      <c r="T18" s="5">
        <v>1.145</v>
      </c>
      <c r="U18" s="5">
        <v>1.1539999999999999</v>
      </c>
      <c r="V18" s="5">
        <v>1.1539999999999999</v>
      </c>
      <c r="W18" s="5">
        <v>1.1579999999999999</v>
      </c>
      <c r="X18" s="5">
        <v>1.1659999999999999</v>
      </c>
      <c r="Y18" s="5">
        <v>1.177</v>
      </c>
      <c r="Z18" s="5">
        <v>1.1950000000000001</v>
      </c>
      <c r="AA18" s="5">
        <v>1.196</v>
      </c>
      <c r="AB18" s="5">
        <v>1.1919999999999999</v>
      </c>
      <c r="AC18" s="5">
        <v>1.2010000000000001</v>
      </c>
      <c r="AD18" s="5">
        <v>29.893999999999998</v>
      </c>
    </row>
    <row r="19" spans="1:30" ht="16.5" customHeight="1" x14ac:dyDescent="0.3">
      <c r="A19" s="12"/>
      <c r="B19" s="12"/>
      <c r="C19" s="12"/>
      <c r="D19" s="1">
        <v>16</v>
      </c>
      <c r="E19" s="5">
        <v>0.50900000000000001</v>
      </c>
      <c r="F19" s="5">
        <v>0.6</v>
      </c>
      <c r="G19" s="5">
        <v>0.68100000000000005</v>
      </c>
      <c r="H19" s="5">
        <v>0.75800000000000001</v>
      </c>
      <c r="I19" s="5">
        <v>0.81599999999999995</v>
      </c>
      <c r="J19" s="5">
        <v>0.86099999999999999</v>
      </c>
      <c r="K19" s="5">
        <v>0.91100000000000003</v>
      </c>
      <c r="L19" s="5">
        <v>0.95199999999999996</v>
      </c>
      <c r="M19" s="5">
        <v>1.004</v>
      </c>
      <c r="N19" s="5">
        <v>1.034</v>
      </c>
      <c r="O19" s="5">
        <v>1.0589999999999999</v>
      </c>
      <c r="P19" s="5">
        <v>1.0820000000000001</v>
      </c>
      <c r="Q19" s="5">
        <v>1.087</v>
      </c>
      <c r="R19" s="5">
        <v>1.1080000000000001</v>
      </c>
      <c r="S19" s="5">
        <v>1.1200000000000001</v>
      </c>
      <c r="T19" s="5">
        <v>1.135</v>
      </c>
      <c r="U19" s="5">
        <v>1.147</v>
      </c>
      <c r="V19" s="5">
        <v>1.143</v>
      </c>
      <c r="W19" s="5">
        <v>1.1459999999999999</v>
      </c>
      <c r="X19" s="5">
        <v>1.145</v>
      </c>
      <c r="Y19" s="5">
        <v>1.151</v>
      </c>
      <c r="Z19" s="5">
        <v>1.1599999999999999</v>
      </c>
      <c r="AA19" s="5">
        <v>1.1679999999999999</v>
      </c>
      <c r="AB19" s="5">
        <v>1.1619999999999999</v>
      </c>
      <c r="AC19" s="5">
        <v>1.1519999999999999</v>
      </c>
      <c r="AD19" s="5">
        <v>29.544</v>
      </c>
    </row>
    <row r="20" spans="1:30" ht="16.5" customHeight="1" x14ac:dyDescent="0.3">
      <c r="A20" s="12"/>
      <c r="B20" s="12"/>
      <c r="C20" s="12"/>
      <c r="D20" s="1">
        <v>17</v>
      </c>
      <c r="E20" s="5">
        <v>0.52400000000000002</v>
      </c>
      <c r="F20" s="5">
        <v>0.59799999999999998</v>
      </c>
      <c r="G20" s="5">
        <v>0.68</v>
      </c>
      <c r="H20" s="5">
        <v>0.77100000000000002</v>
      </c>
      <c r="I20" s="5">
        <v>0.83799999999999997</v>
      </c>
      <c r="J20" s="5">
        <v>0.871</v>
      </c>
      <c r="K20" s="5">
        <v>0.91900000000000004</v>
      </c>
      <c r="L20" s="5">
        <v>0.96199999999999997</v>
      </c>
      <c r="M20" s="5">
        <v>1.006</v>
      </c>
      <c r="N20" s="5">
        <v>1.0369999999999999</v>
      </c>
      <c r="O20" s="5">
        <v>1.0609999999999999</v>
      </c>
      <c r="P20" s="5">
        <v>1.0920000000000001</v>
      </c>
      <c r="Q20" s="5">
        <v>1.1060000000000001</v>
      </c>
      <c r="R20" s="5">
        <v>1.1279999999999999</v>
      </c>
      <c r="S20" s="5">
        <v>1.1359999999999999</v>
      </c>
      <c r="T20" s="5">
        <v>1.1379999999999999</v>
      </c>
      <c r="U20" s="5">
        <v>1.151</v>
      </c>
      <c r="V20" s="5">
        <v>1.165</v>
      </c>
      <c r="W20" s="5">
        <v>1.1599999999999999</v>
      </c>
      <c r="X20" s="5">
        <v>1.1579999999999999</v>
      </c>
      <c r="Y20" s="5">
        <v>1.157</v>
      </c>
      <c r="Z20" s="5">
        <v>1.1659999999999999</v>
      </c>
      <c r="AA20" s="5">
        <v>1.2030000000000001</v>
      </c>
      <c r="AB20" s="5">
        <v>1.177</v>
      </c>
      <c r="AC20" s="5">
        <v>1.1859999999999999</v>
      </c>
      <c r="AD20" s="5">
        <v>29.73</v>
      </c>
    </row>
    <row r="21" spans="1:30" ht="16.5" customHeight="1" x14ac:dyDescent="0.3">
      <c r="A21" s="12"/>
      <c r="B21" s="12"/>
      <c r="C21" s="12"/>
      <c r="D21" s="1">
        <v>18</v>
      </c>
      <c r="E21" s="5">
        <v>0.51700000000000002</v>
      </c>
      <c r="F21" s="5">
        <v>0.59499999999999997</v>
      </c>
      <c r="G21" s="5">
        <v>0.68200000000000005</v>
      </c>
      <c r="H21" s="5">
        <v>0.753</v>
      </c>
      <c r="I21" s="5">
        <v>0.81399999999999995</v>
      </c>
      <c r="J21" s="5">
        <v>0.88400000000000001</v>
      </c>
      <c r="K21" s="5">
        <v>0.92500000000000004</v>
      </c>
      <c r="L21" s="5">
        <v>0.96299999999999997</v>
      </c>
      <c r="M21" s="5">
        <v>0.99299999999999999</v>
      </c>
      <c r="N21" s="5">
        <v>1.026</v>
      </c>
      <c r="O21" s="5">
        <v>1.0580000000000001</v>
      </c>
      <c r="P21" s="5">
        <v>1.0860000000000001</v>
      </c>
      <c r="Q21" s="5">
        <v>1.091</v>
      </c>
      <c r="R21" s="5">
        <v>1.1100000000000001</v>
      </c>
      <c r="S21" s="5">
        <v>1.1279999999999999</v>
      </c>
      <c r="T21" s="5">
        <v>1.1459999999999999</v>
      </c>
      <c r="U21" s="5">
        <v>1.137</v>
      </c>
      <c r="V21" s="5">
        <v>1.145</v>
      </c>
      <c r="W21" s="5">
        <v>1.1419999999999999</v>
      </c>
      <c r="X21" s="5">
        <v>1.151</v>
      </c>
      <c r="Y21" s="5">
        <v>1.147</v>
      </c>
      <c r="Z21" s="5">
        <v>1.157</v>
      </c>
      <c r="AA21" s="5">
        <v>1.1659999999999999</v>
      </c>
      <c r="AB21" s="5">
        <v>1.1599999999999999</v>
      </c>
      <c r="AC21" s="5">
        <v>1.157</v>
      </c>
      <c r="AD21" s="5">
        <v>29.635000000000002</v>
      </c>
    </row>
    <row r="22" spans="1:30" ht="16.5" customHeight="1" x14ac:dyDescent="0.3">
      <c r="A22" s="12"/>
      <c r="B22" s="12"/>
      <c r="C22" s="12"/>
      <c r="D22" s="1">
        <v>19</v>
      </c>
      <c r="E22" s="5">
        <v>0.505</v>
      </c>
      <c r="F22" s="5">
        <v>0.58099999999999996</v>
      </c>
      <c r="G22" s="5">
        <v>0.67500000000000004</v>
      </c>
      <c r="H22" s="5">
        <v>0.76</v>
      </c>
      <c r="I22" s="5">
        <v>0.83199999999999996</v>
      </c>
      <c r="J22" s="5">
        <v>0.874</v>
      </c>
      <c r="K22" s="5">
        <v>0.91700000000000004</v>
      </c>
      <c r="L22" s="5">
        <v>0.96199999999999997</v>
      </c>
      <c r="M22" s="5">
        <v>0.997</v>
      </c>
      <c r="N22" s="5">
        <v>1.038</v>
      </c>
      <c r="O22" s="5">
        <v>1.071</v>
      </c>
      <c r="P22" s="5">
        <v>1.0940000000000001</v>
      </c>
      <c r="Q22" s="5">
        <v>1.1040000000000001</v>
      </c>
      <c r="R22" s="5">
        <v>1.1200000000000001</v>
      </c>
      <c r="S22" s="5">
        <v>1.1399999999999999</v>
      </c>
      <c r="T22" s="5">
        <v>1.159</v>
      </c>
      <c r="U22" s="5">
        <v>1.159</v>
      </c>
      <c r="V22" s="5">
        <v>1.167</v>
      </c>
      <c r="W22" s="5">
        <v>1.1599999999999999</v>
      </c>
      <c r="X22" s="5">
        <v>1.1559999999999999</v>
      </c>
      <c r="Y22" s="5">
        <v>1.175</v>
      </c>
      <c r="Z22" s="5">
        <v>1.155</v>
      </c>
      <c r="AA22" s="5">
        <v>1.173</v>
      </c>
      <c r="AB22" s="5">
        <v>1.1950000000000001</v>
      </c>
      <c r="AC22" s="5">
        <v>1.204</v>
      </c>
      <c r="AD22" s="5">
        <v>29.988</v>
      </c>
    </row>
    <row r="23" spans="1:30" ht="16.5" customHeight="1" x14ac:dyDescent="0.3">
      <c r="A23" s="12"/>
      <c r="B23" s="12"/>
      <c r="C23" s="12"/>
      <c r="D23" s="1">
        <v>20</v>
      </c>
      <c r="E23" s="5">
        <v>0.53500000000000003</v>
      </c>
      <c r="F23" s="5">
        <v>0.625</v>
      </c>
      <c r="G23" s="5">
        <v>0.71499999999999997</v>
      </c>
      <c r="H23" s="5">
        <v>0.78500000000000003</v>
      </c>
      <c r="I23" s="5">
        <v>0.84799999999999998</v>
      </c>
      <c r="J23" s="5">
        <v>0.90600000000000003</v>
      </c>
      <c r="K23" s="5">
        <v>0.94499999999999995</v>
      </c>
      <c r="L23" s="5">
        <v>0.99199999999999999</v>
      </c>
      <c r="M23" s="5">
        <v>1.016</v>
      </c>
      <c r="N23" s="5">
        <v>1.0489999999999999</v>
      </c>
      <c r="O23" s="5">
        <v>1.0840000000000001</v>
      </c>
      <c r="P23" s="5">
        <v>1.111</v>
      </c>
      <c r="Q23" s="5">
        <v>1.131</v>
      </c>
      <c r="R23" s="5">
        <v>1.1419999999999999</v>
      </c>
      <c r="S23" s="5">
        <v>1.153</v>
      </c>
      <c r="T23" s="5">
        <v>1.1659999999999999</v>
      </c>
      <c r="U23" s="5">
        <v>1.1619999999999999</v>
      </c>
      <c r="V23" s="5">
        <v>1.1950000000000001</v>
      </c>
      <c r="W23" s="5">
        <v>1.1930000000000001</v>
      </c>
      <c r="X23" s="5">
        <v>1.1839999999999999</v>
      </c>
      <c r="Y23" s="5">
        <v>1.196</v>
      </c>
      <c r="Z23" s="5">
        <v>1.2110000000000001</v>
      </c>
      <c r="AA23" s="5">
        <v>1.234</v>
      </c>
      <c r="AB23" s="5">
        <v>1.1779999999999999</v>
      </c>
      <c r="AC23" s="5">
        <v>1.171</v>
      </c>
      <c r="AD23" s="5">
        <v>29.652000000000001</v>
      </c>
    </row>
    <row r="24" spans="1:30" ht="16.5" customHeight="1" x14ac:dyDescent="0.3">
      <c r="A24" s="12"/>
      <c r="B24" s="12"/>
      <c r="C24" s="12"/>
      <c r="D24" s="1">
        <v>21</v>
      </c>
      <c r="E24" s="5">
        <v>0.54500000000000004</v>
      </c>
      <c r="F24" s="5">
        <v>0.623</v>
      </c>
      <c r="G24" s="5">
        <v>0.69399999999999995</v>
      </c>
      <c r="H24" s="5">
        <v>0.77100000000000002</v>
      </c>
      <c r="I24" s="5">
        <v>0.84</v>
      </c>
      <c r="J24" s="5">
        <v>0.88600000000000001</v>
      </c>
      <c r="K24" s="5">
        <v>0.92500000000000004</v>
      </c>
      <c r="L24" s="5">
        <v>0.97099999999999997</v>
      </c>
      <c r="M24" s="5">
        <v>1.0049999999999999</v>
      </c>
      <c r="N24" s="5">
        <v>1.036</v>
      </c>
      <c r="O24" s="5">
        <v>1.0660000000000001</v>
      </c>
      <c r="P24" s="5">
        <v>1.093</v>
      </c>
      <c r="Q24" s="5">
        <v>1.1060000000000001</v>
      </c>
      <c r="R24" s="5">
        <v>1.115</v>
      </c>
      <c r="S24" s="5">
        <v>1.1299999999999999</v>
      </c>
      <c r="T24" s="5">
        <v>1.137</v>
      </c>
      <c r="U24" s="5">
        <v>1.1519999999999999</v>
      </c>
      <c r="V24" s="5">
        <v>1.1659999999999999</v>
      </c>
      <c r="W24" s="5">
        <v>1.1679999999999999</v>
      </c>
      <c r="X24" s="5">
        <v>1.181</v>
      </c>
      <c r="Y24" s="5">
        <v>1.1679999999999999</v>
      </c>
      <c r="Z24" s="5">
        <v>1.1819999999999999</v>
      </c>
      <c r="AA24" s="5">
        <v>1.1890000000000001</v>
      </c>
      <c r="AB24" s="5">
        <v>1.175</v>
      </c>
      <c r="AC24" s="5">
        <v>1.214</v>
      </c>
      <c r="AD24" s="5">
        <v>29.9</v>
      </c>
    </row>
    <row r="25" spans="1:30" ht="16.5" customHeight="1" x14ac:dyDescent="0.3">
      <c r="A25" s="12"/>
      <c r="B25" s="12"/>
      <c r="C25" s="12"/>
      <c r="D25" s="1">
        <v>22</v>
      </c>
      <c r="E25" s="5">
        <v>0.53500000000000003</v>
      </c>
      <c r="F25" s="5">
        <v>0.63500000000000001</v>
      </c>
      <c r="G25" s="5">
        <v>0.71499999999999997</v>
      </c>
      <c r="H25" s="5">
        <v>0.78600000000000003</v>
      </c>
      <c r="I25" s="5">
        <v>0.84199999999999997</v>
      </c>
      <c r="J25" s="5">
        <v>0.88200000000000001</v>
      </c>
      <c r="K25" s="5">
        <v>0.92200000000000004</v>
      </c>
      <c r="L25" s="5">
        <v>0.96899999999999997</v>
      </c>
      <c r="M25" s="5">
        <v>0.999</v>
      </c>
      <c r="N25" s="5">
        <v>1.038</v>
      </c>
      <c r="O25" s="5">
        <v>1.0680000000000001</v>
      </c>
      <c r="P25" s="5">
        <v>1.0920000000000001</v>
      </c>
      <c r="Q25" s="5">
        <v>1.107</v>
      </c>
      <c r="R25" s="5">
        <v>1.1220000000000001</v>
      </c>
      <c r="S25" s="5">
        <v>1.1379999999999999</v>
      </c>
      <c r="T25" s="5">
        <v>1.1539999999999999</v>
      </c>
      <c r="U25" s="5">
        <v>1.157</v>
      </c>
      <c r="V25" s="5">
        <v>1.165</v>
      </c>
      <c r="W25" s="5">
        <v>1.159</v>
      </c>
      <c r="X25" s="5">
        <v>1.1639999999999999</v>
      </c>
      <c r="Y25" s="5">
        <v>1.165</v>
      </c>
      <c r="Z25" s="5">
        <v>1.1890000000000001</v>
      </c>
      <c r="AA25" s="5">
        <v>1.206</v>
      </c>
      <c r="AB25" s="5">
        <v>1.1739999999999999</v>
      </c>
      <c r="AC25" s="5">
        <v>1.1970000000000001</v>
      </c>
      <c r="AD25" s="5">
        <v>29.616</v>
      </c>
    </row>
    <row r="26" spans="1:30" ht="16.5" customHeight="1" x14ac:dyDescent="0.3">
      <c r="A26" s="12"/>
      <c r="B26" s="12"/>
      <c r="C26" s="12"/>
      <c r="D26" s="1">
        <v>23</v>
      </c>
      <c r="E26" s="5">
        <v>0.52900000000000003</v>
      </c>
      <c r="F26" s="5">
        <v>0.60699999999999998</v>
      </c>
      <c r="G26" s="5">
        <v>0.68700000000000006</v>
      </c>
      <c r="H26" s="5">
        <v>0.77100000000000002</v>
      </c>
      <c r="I26" s="5">
        <v>0.83799999999999997</v>
      </c>
      <c r="J26" s="5">
        <v>0.878</v>
      </c>
      <c r="K26" s="5">
        <v>0.92700000000000005</v>
      </c>
      <c r="L26" s="5">
        <v>0.96499999999999997</v>
      </c>
      <c r="M26" s="5">
        <v>1.008</v>
      </c>
      <c r="N26" s="5">
        <v>1.038</v>
      </c>
      <c r="O26" s="5">
        <v>1.0649999999999999</v>
      </c>
      <c r="P26" s="5">
        <v>1.095</v>
      </c>
      <c r="Q26" s="5">
        <v>1.1140000000000001</v>
      </c>
      <c r="R26" s="5">
        <v>1.121</v>
      </c>
      <c r="S26" s="5">
        <v>1.1419999999999999</v>
      </c>
      <c r="T26" s="5">
        <v>1.1419999999999999</v>
      </c>
      <c r="U26" s="5">
        <v>1.1559999999999999</v>
      </c>
      <c r="V26" s="5">
        <v>1.161</v>
      </c>
      <c r="W26" s="5">
        <v>1.1759999999999999</v>
      </c>
      <c r="X26" s="5">
        <v>1.1679999999999999</v>
      </c>
      <c r="Y26" s="5">
        <v>1.157</v>
      </c>
      <c r="Z26" s="5">
        <v>1.1759999999999999</v>
      </c>
      <c r="AA26" s="5">
        <v>1.2070000000000001</v>
      </c>
      <c r="AB26" s="5">
        <v>1.194</v>
      </c>
      <c r="AC26" s="5">
        <v>1.21</v>
      </c>
      <c r="AD26" s="5">
        <v>30.013000000000002</v>
      </c>
    </row>
    <row r="27" spans="1:30" ht="16.5" customHeight="1" x14ac:dyDescent="0.3">
      <c r="A27" s="12"/>
      <c r="B27" s="12"/>
      <c r="C27" s="12"/>
      <c r="D27" s="1">
        <v>24</v>
      </c>
      <c r="E27" s="5">
        <v>0.52100000000000002</v>
      </c>
      <c r="F27" s="5">
        <v>0.6</v>
      </c>
      <c r="G27" s="5">
        <v>0.69799999999999995</v>
      </c>
      <c r="H27" s="5">
        <v>0.78</v>
      </c>
      <c r="I27" s="5">
        <v>0.84299999999999997</v>
      </c>
      <c r="J27" s="5">
        <v>0.88300000000000001</v>
      </c>
      <c r="K27" s="5">
        <v>0.93500000000000005</v>
      </c>
      <c r="L27" s="5">
        <v>0.98399999999999999</v>
      </c>
      <c r="M27" s="5">
        <v>1.012</v>
      </c>
      <c r="N27" s="5">
        <v>1.0529999999999999</v>
      </c>
      <c r="O27" s="5">
        <v>1.079</v>
      </c>
      <c r="P27" s="5">
        <v>1.101</v>
      </c>
      <c r="Q27" s="5">
        <v>1.123</v>
      </c>
      <c r="R27" s="5">
        <v>1.1379999999999999</v>
      </c>
      <c r="S27" s="5">
        <v>1.161</v>
      </c>
      <c r="T27" s="5">
        <v>1.1719999999999999</v>
      </c>
      <c r="U27" s="5">
        <v>1.177</v>
      </c>
      <c r="V27" s="5">
        <v>1.177</v>
      </c>
      <c r="W27" s="5">
        <v>1.1679999999999999</v>
      </c>
      <c r="X27" s="5">
        <v>1.175</v>
      </c>
      <c r="Y27" s="5">
        <v>1.1830000000000001</v>
      </c>
      <c r="Z27" s="5">
        <v>1.2190000000000001</v>
      </c>
      <c r="AA27" s="5">
        <v>1.198</v>
      </c>
      <c r="AB27" s="5">
        <v>1.198</v>
      </c>
      <c r="AC27" s="5">
        <v>1.2050000000000001</v>
      </c>
      <c r="AD27" s="5">
        <v>29.797000000000001</v>
      </c>
    </row>
    <row r="28" spans="1:30" ht="16.5" customHeight="1" x14ac:dyDescent="0.3">
      <c r="A28" s="12"/>
      <c r="B28" s="12"/>
      <c r="C28" s="12"/>
      <c r="D28" s="1">
        <v>25</v>
      </c>
      <c r="E28" s="5">
        <v>0.54</v>
      </c>
      <c r="F28" s="5">
        <v>0.61</v>
      </c>
      <c r="G28" s="5">
        <v>0.70699999999999996</v>
      </c>
      <c r="H28" s="5">
        <v>0.76500000000000001</v>
      </c>
      <c r="I28" s="5">
        <v>0.83299999999999996</v>
      </c>
      <c r="J28" s="5">
        <v>0.874</v>
      </c>
      <c r="K28" s="5">
        <v>0.91900000000000004</v>
      </c>
      <c r="L28" s="5">
        <v>0.95799999999999996</v>
      </c>
      <c r="M28" s="5">
        <v>0.996</v>
      </c>
      <c r="N28" s="5">
        <v>1.028</v>
      </c>
      <c r="O28" s="5">
        <v>1.0580000000000001</v>
      </c>
      <c r="P28" s="5">
        <v>1.087</v>
      </c>
      <c r="Q28" s="5">
        <v>1.1020000000000001</v>
      </c>
      <c r="R28" s="5">
        <v>1.1359999999999999</v>
      </c>
      <c r="S28" s="5">
        <v>1.139</v>
      </c>
      <c r="T28" s="5">
        <v>1.1579999999999999</v>
      </c>
      <c r="U28" s="5">
        <v>1.147</v>
      </c>
      <c r="V28" s="5">
        <v>1.1539999999999999</v>
      </c>
      <c r="W28" s="5">
        <v>1.1679999999999999</v>
      </c>
      <c r="X28" s="5">
        <v>1.1599999999999999</v>
      </c>
      <c r="Y28" s="5">
        <v>1.167</v>
      </c>
      <c r="Z28" s="5">
        <v>1.1819999999999999</v>
      </c>
      <c r="AA28" s="5">
        <v>1.181</v>
      </c>
      <c r="AB28" s="5">
        <v>1.179</v>
      </c>
      <c r="AC28" s="5">
        <v>1.1930000000000001</v>
      </c>
      <c r="AD28" s="5">
        <v>30.273</v>
      </c>
    </row>
    <row r="29" spans="1:30" ht="16.5" customHeight="1" x14ac:dyDescent="0.3">
      <c r="A29" s="12"/>
      <c r="B29" s="12"/>
      <c r="C29" s="12"/>
      <c r="D29" s="1">
        <v>26</v>
      </c>
      <c r="E29" s="5">
        <v>0.50900000000000001</v>
      </c>
      <c r="F29" s="5">
        <v>0.58499999999999996</v>
      </c>
      <c r="G29" s="5">
        <v>0.67600000000000005</v>
      </c>
      <c r="H29" s="5">
        <v>0.748</v>
      </c>
      <c r="I29" s="5">
        <v>0.82</v>
      </c>
      <c r="J29" s="5">
        <v>0.86899999999999999</v>
      </c>
      <c r="K29" s="5">
        <v>0.91200000000000003</v>
      </c>
      <c r="L29" s="5">
        <v>0.95099999999999996</v>
      </c>
      <c r="M29" s="5">
        <v>0.99</v>
      </c>
      <c r="N29" s="5">
        <v>1.028</v>
      </c>
      <c r="O29" s="5">
        <v>1.0589999999999999</v>
      </c>
      <c r="P29" s="5">
        <v>1.087</v>
      </c>
      <c r="Q29" s="5">
        <v>1.097</v>
      </c>
      <c r="R29" s="5">
        <v>1.107</v>
      </c>
      <c r="S29" s="5">
        <v>1.1220000000000001</v>
      </c>
      <c r="T29" s="5">
        <v>1.139</v>
      </c>
      <c r="U29" s="5">
        <v>1.1379999999999999</v>
      </c>
      <c r="V29" s="5">
        <v>1.147</v>
      </c>
      <c r="W29" s="5">
        <v>1.159</v>
      </c>
      <c r="X29" s="5">
        <v>1.149</v>
      </c>
      <c r="Y29" s="5">
        <v>1.137</v>
      </c>
      <c r="Z29" s="5">
        <v>1.147</v>
      </c>
      <c r="AA29" s="5">
        <v>1.163</v>
      </c>
      <c r="AB29" s="5">
        <v>1.161</v>
      </c>
      <c r="AC29" s="5">
        <v>1.1599999999999999</v>
      </c>
      <c r="AD29" s="5">
        <v>29.856999999999999</v>
      </c>
    </row>
    <row r="30" spans="1:30" x14ac:dyDescent="0.3">
      <c r="A30" s="12"/>
      <c r="B30" s="12"/>
      <c r="C30" s="12"/>
      <c r="D30" s="1">
        <v>27</v>
      </c>
      <c r="E30" s="5">
        <v>0.51100000000000001</v>
      </c>
      <c r="F30" s="5">
        <v>0.59599999999999997</v>
      </c>
      <c r="G30" s="5">
        <v>0.68799999999999994</v>
      </c>
      <c r="H30" s="5">
        <v>0.76</v>
      </c>
      <c r="I30" s="5">
        <v>0.83299999999999996</v>
      </c>
      <c r="J30" s="5">
        <v>0.86699999999999999</v>
      </c>
      <c r="K30" s="5">
        <v>0.91300000000000003</v>
      </c>
      <c r="L30" s="5">
        <v>0.96099999999999997</v>
      </c>
      <c r="M30" s="5">
        <v>0.99399999999999999</v>
      </c>
      <c r="N30" s="5">
        <v>1.032</v>
      </c>
      <c r="O30" s="5">
        <v>1.0620000000000001</v>
      </c>
      <c r="P30" s="5">
        <v>1.0880000000000001</v>
      </c>
      <c r="Q30" s="5">
        <v>1.099</v>
      </c>
      <c r="R30" s="5">
        <v>1.1200000000000001</v>
      </c>
      <c r="S30" s="5">
        <v>1.1279999999999999</v>
      </c>
      <c r="T30" s="5">
        <v>1.1419999999999999</v>
      </c>
      <c r="U30" s="5">
        <v>1.155</v>
      </c>
      <c r="V30" s="5">
        <v>1.1499999999999999</v>
      </c>
      <c r="W30" s="5">
        <v>1.1499999999999999</v>
      </c>
      <c r="X30" s="5">
        <v>1.151</v>
      </c>
      <c r="Y30" s="5">
        <v>1.1599999999999999</v>
      </c>
      <c r="Z30" s="5">
        <v>1.167</v>
      </c>
      <c r="AA30" s="5">
        <v>1.1759999999999999</v>
      </c>
      <c r="AB30" s="5">
        <v>1.1739999999999999</v>
      </c>
      <c r="AC30" s="5">
        <v>1.1879999999999999</v>
      </c>
      <c r="AD30" s="5">
        <v>29.803999999999998</v>
      </c>
    </row>
    <row r="31" spans="1:30" x14ac:dyDescent="0.3">
      <c r="A31" s="12"/>
      <c r="B31" s="12"/>
      <c r="C31" s="12"/>
      <c r="D31" s="1">
        <v>28</v>
      </c>
      <c r="E31" s="5">
        <v>0.54100000000000004</v>
      </c>
      <c r="F31" s="5">
        <v>0.61099999999999999</v>
      </c>
      <c r="G31" s="5">
        <v>0.69199999999999995</v>
      </c>
      <c r="H31" s="5">
        <v>0.76300000000000001</v>
      </c>
      <c r="I31" s="5">
        <v>0.82599999999999996</v>
      </c>
      <c r="J31" s="5">
        <v>0.878</v>
      </c>
      <c r="K31" s="5">
        <v>0.92</v>
      </c>
      <c r="L31" s="5">
        <v>0.96499999999999997</v>
      </c>
      <c r="M31" s="5">
        <v>1.0049999999999999</v>
      </c>
      <c r="N31" s="5">
        <v>1.0349999999999999</v>
      </c>
      <c r="O31" s="5">
        <v>1.0680000000000001</v>
      </c>
      <c r="P31" s="5">
        <v>1.0880000000000001</v>
      </c>
      <c r="Q31" s="5">
        <v>1.105</v>
      </c>
      <c r="R31" s="5">
        <v>1.1180000000000001</v>
      </c>
      <c r="S31" s="5">
        <v>1.133</v>
      </c>
      <c r="T31" s="5">
        <v>1.149</v>
      </c>
      <c r="U31" s="5">
        <v>1.1619999999999999</v>
      </c>
      <c r="V31" s="5">
        <v>1.1639999999999999</v>
      </c>
      <c r="W31" s="5">
        <v>1.1739999999999999</v>
      </c>
      <c r="X31" s="5">
        <v>1.19</v>
      </c>
      <c r="Y31" s="5">
        <v>1.2</v>
      </c>
      <c r="Z31" s="5">
        <v>1.2210000000000001</v>
      </c>
      <c r="AA31" s="5">
        <v>1.208</v>
      </c>
      <c r="AB31" s="5">
        <v>1.2130000000000001</v>
      </c>
      <c r="AC31" s="5">
        <v>1.216</v>
      </c>
      <c r="AD31" s="5">
        <v>29.477</v>
      </c>
    </row>
    <row r="32" spans="1:30" x14ac:dyDescent="0.3">
      <c r="A32" s="12"/>
      <c r="B32" s="12"/>
      <c r="C32" s="12"/>
      <c r="D32" s="1">
        <v>29</v>
      </c>
      <c r="E32" s="5">
        <v>0.51</v>
      </c>
      <c r="F32" s="5">
        <v>0.60599999999999998</v>
      </c>
      <c r="G32" s="5">
        <v>0.68500000000000005</v>
      </c>
      <c r="H32" s="5">
        <v>0.76300000000000001</v>
      </c>
      <c r="I32" s="5">
        <v>0.82699999999999996</v>
      </c>
      <c r="J32" s="5">
        <v>0.875</v>
      </c>
      <c r="K32" s="5">
        <v>0.91800000000000004</v>
      </c>
      <c r="L32" s="5">
        <v>0.96299999999999997</v>
      </c>
      <c r="M32" s="5">
        <v>1.0029999999999999</v>
      </c>
      <c r="N32" s="5">
        <v>1.0389999999999999</v>
      </c>
      <c r="O32" s="5">
        <v>1.071</v>
      </c>
      <c r="P32" s="5">
        <v>1.095</v>
      </c>
      <c r="Q32" s="5">
        <v>1.1100000000000001</v>
      </c>
      <c r="R32" s="5">
        <v>1.127</v>
      </c>
      <c r="S32" s="5">
        <v>1.1339999999999999</v>
      </c>
      <c r="T32" s="5">
        <v>1.1519999999999999</v>
      </c>
      <c r="U32" s="5">
        <v>1.165</v>
      </c>
      <c r="V32" s="5">
        <v>1.161</v>
      </c>
      <c r="W32" s="5">
        <v>1.159</v>
      </c>
      <c r="X32" s="5">
        <v>1.173</v>
      </c>
      <c r="Y32" s="5">
        <v>1.17</v>
      </c>
      <c r="Z32" s="5">
        <v>1.1879999999999999</v>
      </c>
      <c r="AA32" s="5">
        <v>1.218</v>
      </c>
      <c r="AB32" s="5">
        <v>1.177</v>
      </c>
      <c r="AC32" s="5">
        <v>1.222</v>
      </c>
      <c r="AD32" s="5">
        <v>29.635999999999999</v>
      </c>
    </row>
    <row r="33" spans="1:30" x14ac:dyDescent="0.3">
      <c r="A33" s="12"/>
      <c r="B33" s="12"/>
      <c r="C33" s="12"/>
      <c r="D33" s="1">
        <v>30</v>
      </c>
      <c r="E33" s="5">
        <v>0.51800000000000002</v>
      </c>
      <c r="F33" s="5">
        <v>0.58899999999999997</v>
      </c>
      <c r="G33" s="5">
        <v>0.67900000000000005</v>
      </c>
      <c r="H33" s="5">
        <v>0.76200000000000001</v>
      </c>
      <c r="I33" s="5">
        <v>0.82499999999999996</v>
      </c>
      <c r="J33" s="5">
        <v>0.87</v>
      </c>
      <c r="K33" s="5">
        <v>0.91800000000000004</v>
      </c>
      <c r="L33" s="5">
        <v>0.96</v>
      </c>
      <c r="M33" s="5">
        <v>0.997</v>
      </c>
      <c r="N33" s="5">
        <v>1.0269999999999999</v>
      </c>
      <c r="O33" s="5">
        <v>1.056</v>
      </c>
      <c r="P33" s="5">
        <v>1.0820000000000001</v>
      </c>
      <c r="Q33" s="5">
        <v>1.1020000000000001</v>
      </c>
      <c r="R33" s="5">
        <v>1.1220000000000001</v>
      </c>
      <c r="S33" s="5">
        <v>1.135</v>
      </c>
      <c r="T33" s="5">
        <v>1.149</v>
      </c>
      <c r="U33" s="5">
        <v>1.165</v>
      </c>
      <c r="V33" s="5">
        <v>1.1579999999999999</v>
      </c>
      <c r="W33" s="5">
        <v>1.179</v>
      </c>
      <c r="X33" s="5">
        <v>1.175</v>
      </c>
      <c r="Y33" s="5">
        <v>1.1639999999999999</v>
      </c>
      <c r="Z33" s="5">
        <v>1.1950000000000001</v>
      </c>
      <c r="AA33" s="5">
        <v>1.2010000000000001</v>
      </c>
      <c r="AB33" s="5">
        <v>1.181</v>
      </c>
      <c r="AC33" s="5">
        <v>1.1970000000000001</v>
      </c>
      <c r="AD33" s="5">
        <v>29.648</v>
      </c>
    </row>
    <row r="34" spans="1:30" x14ac:dyDescent="0.3">
      <c r="A34" s="12"/>
      <c r="B34" s="12"/>
      <c r="C34" s="12"/>
      <c r="D34" s="1">
        <v>31</v>
      </c>
      <c r="E34" s="5">
        <v>0.51500000000000001</v>
      </c>
      <c r="F34" s="5">
        <v>0.60399999999999998</v>
      </c>
      <c r="G34" s="5">
        <v>0.69199999999999995</v>
      </c>
      <c r="H34" s="5">
        <v>0.76400000000000001</v>
      </c>
      <c r="I34" s="5">
        <v>0.82399999999999995</v>
      </c>
      <c r="J34" s="5">
        <v>0.874</v>
      </c>
      <c r="K34" s="5">
        <v>0.92400000000000004</v>
      </c>
      <c r="L34" s="5">
        <v>0.96299999999999997</v>
      </c>
      <c r="M34" s="5">
        <v>1.004</v>
      </c>
      <c r="N34" s="5">
        <v>1.038</v>
      </c>
      <c r="O34" s="5">
        <v>1.075</v>
      </c>
      <c r="P34" s="5">
        <v>1.1000000000000001</v>
      </c>
      <c r="Q34" s="5">
        <v>1.1160000000000001</v>
      </c>
      <c r="R34" s="5">
        <v>1.1319999999999999</v>
      </c>
      <c r="S34" s="5">
        <v>1.151</v>
      </c>
      <c r="T34" s="5">
        <v>1.163</v>
      </c>
      <c r="U34" s="5">
        <v>1.157</v>
      </c>
      <c r="V34" s="5">
        <v>1.1739999999999999</v>
      </c>
      <c r="W34" s="5">
        <v>1.179</v>
      </c>
      <c r="X34" s="5">
        <v>1.1779999999999999</v>
      </c>
      <c r="Y34" s="5">
        <v>1.202</v>
      </c>
      <c r="Z34" s="5">
        <v>1.2050000000000001</v>
      </c>
      <c r="AA34" s="5">
        <v>1.222</v>
      </c>
      <c r="AB34" s="5">
        <v>1.1910000000000001</v>
      </c>
      <c r="AC34" s="5">
        <v>1.2170000000000001</v>
      </c>
      <c r="AD34" s="5">
        <v>29.870999999999999</v>
      </c>
    </row>
    <row r="35" spans="1:30" x14ac:dyDescent="0.3">
      <c r="A35" s="12"/>
      <c r="B35" s="12"/>
      <c r="C35" s="12"/>
      <c r="D35" s="1">
        <v>32</v>
      </c>
      <c r="E35" s="5">
        <v>0.51900000000000002</v>
      </c>
      <c r="F35" s="5">
        <v>0.61499999999999999</v>
      </c>
      <c r="G35" s="5">
        <v>0.70699999999999996</v>
      </c>
      <c r="H35" s="5">
        <v>0.77600000000000002</v>
      </c>
      <c r="I35" s="5">
        <v>0.83599999999999997</v>
      </c>
      <c r="J35" s="5">
        <v>0.88700000000000001</v>
      </c>
      <c r="K35" s="5">
        <v>0.92500000000000004</v>
      </c>
      <c r="L35" s="5">
        <v>0.95899999999999996</v>
      </c>
      <c r="M35" s="5">
        <v>1.004</v>
      </c>
      <c r="N35" s="5">
        <v>1.042</v>
      </c>
      <c r="O35" s="5">
        <v>1.0660000000000001</v>
      </c>
      <c r="P35" s="5">
        <v>1.1000000000000001</v>
      </c>
      <c r="Q35" s="5">
        <v>1.117</v>
      </c>
      <c r="R35" s="5">
        <v>1.125</v>
      </c>
      <c r="S35" s="5">
        <v>1.1359999999999999</v>
      </c>
      <c r="T35" s="5">
        <v>1.141</v>
      </c>
      <c r="U35" s="5">
        <v>1.153</v>
      </c>
      <c r="V35" s="5">
        <v>1.1659999999999999</v>
      </c>
      <c r="W35" s="5">
        <v>1.181</v>
      </c>
      <c r="X35" s="5">
        <v>1.159</v>
      </c>
      <c r="Y35" s="5">
        <v>1.1679999999999999</v>
      </c>
      <c r="Z35" s="5">
        <v>1.1659999999999999</v>
      </c>
      <c r="AA35" s="5">
        <v>1.181</v>
      </c>
      <c r="AB35" s="5">
        <v>1.1759999999999999</v>
      </c>
      <c r="AC35" s="5">
        <v>1.196</v>
      </c>
      <c r="AD35" s="5">
        <v>29.962</v>
      </c>
    </row>
    <row r="36" spans="1:30" x14ac:dyDescent="0.3">
      <c r="A36" s="12"/>
      <c r="B36" s="12"/>
      <c r="C36" s="12"/>
      <c r="D36" s="1">
        <v>33</v>
      </c>
      <c r="E36" s="5">
        <v>0.54</v>
      </c>
      <c r="F36" s="5">
        <v>0.621</v>
      </c>
      <c r="G36" s="5">
        <v>0.71499999999999997</v>
      </c>
      <c r="H36" s="5">
        <v>0.78100000000000003</v>
      </c>
      <c r="I36" s="5">
        <v>0.84599999999999997</v>
      </c>
      <c r="J36" s="5">
        <v>0.88500000000000001</v>
      </c>
      <c r="K36" s="5">
        <v>0.92300000000000004</v>
      </c>
      <c r="L36" s="5">
        <v>0.96299999999999997</v>
      </c>
      <c r="M36" s="5">
        <v>1.0009999999999999</v>
      </c>
      <c r="N36" s="5">
        <v>1.04</v>
      </c>
      <c r="O36" s="5">
        <v>1.0660000000000001</v>
      </c>
      <c r="P36" s="5">
        <v>1.1020000000000001</v>
      </c>
      <c r="Q36" s="5">
        <v>1.1160000000000001</v>
      </c>
      <c r="R36" s="5">
        <v>1.127</v>
      </c>
      <c r="S36" s="5">
        <v>1.1419999999999999</v>
      </c>
      <c r="T36" s="5">
        <v>1.1519999999999999</v>
      </c>
      <c r="U36" s="5">
        <v>1.167</v>
      </c>
      <c r="V36" s="5">
        <v>1.18</v>
      </c>
      <c r="W36" s="5">
        <v>1.1859999999999999</v>
      </c>
      <c r="X36" s="5">
        <v>1.232</v>
      </c>
      <c r="Y36" s="5">
        <v>1.177</v>
      </c>
      <c r="Z36" s="5">
        <v>1.173</v>
      </c>
      <c r="AA36" s="5">
        <v>1.1990000000000001</v>
      </c>
      <c r="AB36" s="5">
        <v>1.1679999999999999</v>
      </c>
      <c r="AC36" s="5">
        <v>1.1890000000000001</v>
      </c>
      <c r="AD36" s="5">
        <v>29.62</v>
      </c>
    </row>
    <row r="37" spans="1:30" x14ac:dyDescent="0.3">
      <c r="A37" s="12"/>
      <c r="B37" s="12"/>
      <c r="C37" s="12"/>
      <c r="D37" s="1">
        <v>34</v>
      </c>
      <c r="E37" s="5">
        <v>0.52100000000000002</v>
      </c>
      <c r="F37" s="5">
        <v>0.59499999999999997</v>
      </c>
      <c r="G37" s="5">
        <v>0.68700000000000006</v>
      </c>
      <c r="H37" s="5">
        <v>0.76200000000000001</v>
      </c>
      <c r="I37" s="5">
        <v>0.82899999999999996</v>
      </c>
      <c r="J37" s="5">
        <v>0.878</v>
      </c>
      <c r="K37" s="5">
        <v>0.92600000000000005</v>
      </c>
      <c r="L37" s="5">
        <v>0.95399999999999996</v>
      </c>
      <c r="M37" s="5">
        <v>1.0009999999999999</v>
      </c>
      <c r="N37" s="5">
        <v>1.04</v>
      </c>
      <c r="O37" s="5">
        <v>1.0629999999999999</v>
      </c>
      <c r="P37" s="5">
        <v>1.089</v>
      </c>
      <c r="Q37" s="5">
        <v>1.101</v>
      </c>
      <c r="R37" s="5">
        <v>1.1180000000000001</v>
      </c>
      <c r="S37" s="5">
        <v>1.1359999999999999</v>
      </c>
      <c r="T37" s="5">
        <v>1.149</v>
      </c>
      <c r="U37" s="5">
        <v>1.1519999999999999</v>
      </c>
      <c r="V37" s="5">
        <v>1.157</v>
      </c>
      <c r="W37" s="5">
        <v>1.175</v>
      </c>
      <c r="X37" s="5">
        <v>1.167</v>
      </c>
      <c r="Y37" s="5">
        <v>1.17</v>
      </c>
      <c r="Z37" s="5">
        <v>1.1819999999999999</v>
      </c>
      <c r="AA37" s="5">
        <v>1.179</v>
      </c>
      <c r="AB37" s="5">
        <v>1.18</v>
      </c>
      <c r="AC37" s="5">
        <v>1.19</v>
      </c>
      <c r="AD37" s="5">
        <v>29.652999999999999</v>
      </c>
    </row>
    <row r="38" spans="1:30" x14ac:dyDescent="0.3">
      <c r="A38" s="12"/>
      <c r="B38" s="12"/>
      <c r="C38" s="12"/>
      <c r="D38" s="1">
        <v>35</v>
      </c>
      <c r="E38" s="5">
        <v>0.53200000000000003</v>
      </c>
      <c r="F38" s="5">
        <v>0.60299999999999998</v>
      </c>
      <c r="G38" s="5">
        <v>0.68500000000000005</v>
      </c>
      <c r="H38" s="5">
        <v>0.751</v>
      </c>
      <c r="I38" s="5">
        <v>0.81899999999999995</v>
      </c>
      <c r="J38" s="5">
        <v>0.86399999999999999</v>
      </c>
      <c r="K38" s="5">
        <v>0.90700000000000003</v>
      </c>
      <c r="L38" s="5">
        <v>0.95299999999999996</v>
      </c>
      <c r="M38" s="5">
        <v>0.99299999999999999</v>
      </c>
      <c r="N38" s="5">
        <v>1.024</v>
      </c>
      <c r="O38" s="5">
        <v>1.06</v>
      </c>
      <c r="P38" s="5">
        <v>1.079</v>
      </c>
      <c r="Q38" s="5">
        <v>1.087</v>
      </c>
      <c r="R38" s="5">
        <v>1.1220000000000001</v>
      </c>
      <c r="S38" s="5">
        <v>1.1240000000000001</v>
      </c>
      <c r="T38" s="5">
        <v>1.1379999999999999</v>
      </c>
      <c r="U38" s="5">
        <v>1.137</v>
      </c>
      <c r="V38" s="5">
        <v>1.141</v>
      </c>
      <c r="W38" s="5">
        <v>1.153</v>
      </c>
      <c r="X38" s="5">
        <v>1.1439999999999999</v>
      </c>
      <c r="Y38" s="5">
        <v>1.139</v>
      </c>
      <c r="Z38" s="5">
        <v>1.1379999999999999</v>
      </c>
      <c r="AA38" s="5">
        <v>1.1579999999999999</v>
      </c>
      <c r="AB38" s="5">
        <v>1.141</v>
      </c>
      <c r="AC38" s="5">
        <v>1.141</v>
      </c>
      <c r="AD38" s="5">
        <v>29.821999999999999</v>
      </c>
    </row>
    <row r="39" spans="1:30" x14ac:dyDescent="0.3">
      <c r="A39" s="12"/>
      <c r="B39" s="12"/>
      <c r="C39" s="12"/>
      <c r="D39" s="1">
        <v>36</v>
      </c>
      <c r="E39" s="5">
        <v>0.53100000000000003</v>
      </c>
      <c r="F39" s="5">
        <v>0.61099999999999999</v>
      </c>
      <c r="G39" s="5">
        <v>0.69399999999999995</v>
      </c>
      <c r="H39" s="5">
        <v>0.78</v>
      </c>
      <c r="I39" s="5">
        <v>0.83599999999999997</v>
      </c>
      <c r="J39" s="5">
        <v>0.88300000000000001</v>
      </c>
      <c r="K39" s="5">
        <v>0.92900000000000005</v>
      </c>
      <c r="L39" s="5">
        <v>0.96899999999999997</v>
      </c>
      <c r="M39" s="5">
        <v>1.008</v>
      </c>
      <c r="N39" s="5">
        <v>1.0429999999999999</v>
      </c>
      <c r="O39" s="5">
        <v>1.0640000000000001</v>
      </c>
      <c r="P39" s="5">
        <v>1.095</v>
      </c>
      <c r="Q39" s="5">
        <v>1.115</v>
      </c>
      <c r="R39" s="5">
        <v>1.1259999999999999</v>
      </c>
      <c r="S39" s="5">
        <v>1.1399999999999999</v>
      </c>
      <c r="T39" s="5">
        <v>1.147</v>
      </c>
      <c r="U39" s="5">
        <v>1.1579999999999999</v>
      </c>
      <c r="V39" s="5">
        <v>1.157</v>
      </c>
      <c r="W39" s="5">
        <v>1.159</v>
      </c>
      <c r="X39" s="5">
        <v>1.149</v>
      </c>
      <c r="Y39" s="5">
        <v>1.1579999999999999</v>
      </c>
      <c r="Z39" s="5">
        <v>1.1890000000000001</v>
      </c>
      <c r="AA39" s="5">
        <v>1.175</v>
      </c>
      <c r="AB39" s="5">
        <v>1.169</v>
      </c>
      <c r="AC39" s="5">
        <v>1.1879999999999999</v>
      </c>
      <c r="AD39" s="5">
        <v>29.297000000000001</v>
      </c>
    </row>
    <row r="40" spans="1:30" x14ac:dyDescent="0.3">
      <c r="A40" s="12"/>
      <c r="B40" s="12"/>
      <c r="C40" s="12"/>
      <c r="D40" s="1">
        <v>37</v>
      </c>
      <c r="E40" s="5">
        <v>0.53200000000000003</v>
      </c>
      <c r="F40" s="5">
        <v>0.61</v>
      </c>
      <c r="G40" s="5">
        <v>0.70199999999999996</v>
      </c>
      <c r="H40" s="5">
        <v>0.77</v>
      </c>
      <c r="I40" s="5">
        <v>0.83499999999999996</v>
      </c>
      <c r="J40" s="5">
        <v>0.86899999999999999</v>
      </c>
      <c r="K40" s="5">
        <v>0.92</v>
      </c>
      <c r="L40" s="5">
        <v>0.96</v>
      </c>
      <c r="M40" s="5">
        <v>1</v>
      </c>
      <c r="N40" s="5">
        <v>1.032</v>
      </c>
      <c r="O40" s="5">
        <v>1.0620000000000001</v>
      </c>
      <c r="P40" s="5">
        <v>1.101</v>
      </c>
      <c r="Q40" s="5">
        <v>1.105</v>
      </c>
      <c r="R40" s="5">
        <v>1.1220000000000001</v>
      </c>
      <c r="S40" s="5">
        <v>1.1439999999999999</v>
      </c>
      <c r="T40" s="5">
        <v>1.1639999999999999</v>
      </c>
      <c r="U40" s="5">
        <v>1.175</v>
      </c>
      <c r="V40" s="5">
        <v>1.1499999999999999</v>
      </c>
      <c r="W40" s="5">
        <v>1.1559999999999999</v>
      </c>
      <c r="X40" s="5">
        <v>1.1859999999999999</v>
      </c>
      <c r="Y40" s="5">
        <v>1.1890000000000001</v>
      </c>
      <c r="Z40" s="5">
        <v>1.1819999999999999</v>
      </c>
      <c r="AA40" s="5">
        <v>1.194</v>
      </c>
      <c r="AB40" s="5">
        <v>1.1839999999999999</v>
      </c>
      <c r="AC40" s="5">
        <v>1.179</v>
      </c>
      <c r="AD40" s="5">
        <v>29.611999999999998</v>
      </c>
    </row>
    <row r="41" spans="1:30" x14ac:dyDescent="0.3">
      <c r="A41" s="12"/>
      <c r="B41" s="12"/>
      <c r="C41" s="12"/>
      <c r="D41" s="1">
        <v>38</v>
      </c>
      <c r="E41" s="5">
        <v>0.53300000000000003</v>
      </c>
      <c r="F41" s="5">
        <v>0.59899999999999998</v>
      </c>
      <c r="G41" s="5">
        <v>0.68400000000000005</v>
      </c>
      <c r="H41" s="5">
        <v>0.76500000000000001</v>
      </c>
      <c r="I41" s="5">
        <v>0.83</v>
      </c>
      <c r="J41" s="5">
        <v>0.88</v>
      </c>
      <c r="K41" s="5">
        <v>0.92200000000000004</v>
      </c>
      <c r="L41" s="5">
        <v>0.96099999999999997</v>
      </c>
      <c r="M41" s="5">
        <v>1.002</v>
      </c>
      <c r="N41" s="5">
        <v>1.0329999999999999</v>
      </c>
      <c r="O41" s="5">
        <v>1.0649999999999999</v>
      </c>
      <c r="P41" s="5">
        <v>1.089</v>
      </c>
      <c r="Q41" s="5">
        <v>1.101</v>
      </c>
      <c r="R41" s="5">
        <v>1.1339999999999999</v>
      </c>
      <c r="S41" s="5">
        <v>1.1339999999999999</v>
      </c>
      <c r="T41" s="5">
        <v>1.151</v>
      </c>
      <c r="U41" s="5">
        <v>1.153</v>
      </c>
      <c r="V41" s="5">
        <v>1.165</v>
      </c>
      <c r="W41" s="5">
        <v>1.161</v>
      </c>
      <c r="X41" s="5">
        <v>1.157</v>
      </c>
      <c r="Y41" s="5">
        <v>1.157</v>
      </c>
      <c r="Z41" s="5">
        <v>1.1759999999999999</v>
      </c>
      <c r="AA41" s="5">
        <v>1.1830000000000001</v>
      </c>
      <c r="AB41" s="5">
        <v>1.1639999999999999</v>
      </c>
      <c r="AC41" s="5">
        <v>1.1759999999999999</v>
      </c>
      <c r="AD41" s="5">
        <v>29.561</v>
      </c>
    </row>
    <row r="42" spans="1:30" x14ac:dyDescent="0.3">
      <c r="A42" s="12"/>
      <c r="B42" s="12"/>
      <c r="C42" s="12"/>
      <c r="D42" s="1">
        <v>39</v>
      </c>
      <c r="E42" s="5">
        <v>0.52700000000000002</v>
      </c>
      <c r="F42" s="5">
        <v>0.61499999999999999</v>
      </c>
      <c r="G42" s="5">
        <v>0.68600000000000005</v>
      </c>
      <c r="H42" s="5">
        <v>0.76900000000000002</v>
      </c>
      <c r="I42" s="5">
        <v>0.83099999999999996</v>
      </c>
      <c r="J42" s="5">
        <v>0.878</v>
      </c>
      <c r="K42" s="5">
        <v>0.92500000000000004</v>
      </c>
      <c r="L42" s="5">
        <v>0.96299999999999997</v>
      </c>
      <c r="M42" s="5">
        <v>1</v>
      </c>
      <c r="N42" s="5">
        <v>1.0329999999999999</v>
      </c>
      <c r="O42" s="5">
        <v>1.0649999999999999</v>
      </c>
      <c r="P42" s="5">
        <v>1.093</v>
      </c>
      <c r="Q42" s="5">
        <v>1.111</v>
      </c>
      <c r="R42" s="5">
        <v>1.1220000000000001</v>
      </c>
      <c r="S42" s="5">
        <v>1.129</v>
      </c>
      <c r="T42" s="5">
        <v>1.149</v>
      </c>
      <c r="U42" s="5">
        <v>1.1559999999999999</v>
      </c>
      <c r="V42" s="5">
        <v>1.169</v>
      </c>
      <c r="W42" s="5">
        <v>1.1739999999999999</v>
      </c>
      <c r="X42" s="5">
        <v>1.147</v>
      </c>
      <c r="Y42" s="5">
        <v>1.153</v>
      </c>
      <c r="Z42" s="5">
        <v>1.1719999999999999</v>
      </c>
      <c r="AA42" s="5">
        <v>1.1919999999999999</v>
      </c>
      <c r="AB42" s="5">
        <v>1.1779999999999999</v>
      </c>
      <c r="AC42" s="5">
        <v>1.1970000000000001</v>
      </c>
      <c r="AD42" s="5">
        <v>29.663</v>
      </c>
    </row>
    <row r="43" spans="1:30" x14ac:dyDescent="0.3">
      <c r="A43" s="12"/>
      <c r="B43" s="12"/>
      <c r="C43" s="12"/>
      <c r="D43" s="1">
        <v>40</v>
      </c>
      <c r="E43" s="5">
        <v>0.52</v>
      </c>
      <c r="F43" s="5">
        <v>0.59199999999999997</v>
      </c>
      <c r="G43" s="5">
        <v>0.68700000000000006</v>
      </c>
      <c r="H43" s="5">
        <v>0.75</v>
      </c>
      <c r="I43" s="5">
        <v>0.82499999999999996</v>
      </c>
      <c r="J43" s="5">
        <v>0.87</v>
      </c>
      <c r="K43" s="5">
        <v>0.92</v>
      </c>
      <c r="L43" s="5">
        <v>0.95699999999999996</v>
      </c>
      <c r="M43" s="5">
        <v>0.99199999999999999</v>
      </c>
      <c r="N43" s="5">
        <v>1.0349999999999999</v>
      </c>
      <c r="O43" s="5">
        <v>1.0629999999999999</v>
      </c>
      <c r="P43" s="5">
        <v>1.093</v>
      </c>
      <c r="Q43" s="5">
        <v>1.1080000000000001</v>
      </c>
      <c r="R43" s="5">
        <v>1.1140000000000001</v>
      </c>
      <c r="S43" s="5">
        <v>1.1220000000000001</v>
      </c>
      <c r="T43" s="5">
        <v>1.139</v>
      </c>
      <c r="U43" s="5">
        <v>1.1419999999999999</v>
      </c>
      <c r="V43" s="5">
        <v>1.1399999999999999</v>
      </c>
      <c r="W43" s="5">
        <v>1.1499999999999999</v>
      </c>
      <c r="X43" s="5">
        <v>1.1519999999999999</v>
      </c>
      <c r="Y43" s="5">
        <v>1.1399999999999999</v>
      </c>
      <c r="Z43" s="5">
        <v>1.1499999999999999</v>
      </c>
      <c r="AA43" s="5">
        <v>1.157</v>
      </c>
      <c r="AB43" s="5">
        <v>1.157</v>
      </c>
      <c r="AC43" s="5">
        <v>1.1619999999999999</v>
      </c>
      <c r="AD43" s="5">
        <v>29.617000000000001</v>
      </c>
    </row>
    <row r="44" spans="1:30" x14ac:dyDescent="0.3">
      <c r="A44" s="12"/>
      <c r="B44" s="12"/>
      <c r="C44" s="12"/>
      <c r="D44" s="1">
        <v>41</v>
      </c>
      <c r="E44" s="5">
        <v>0.497</v>
      </c>
      <c r="F44" s="5">
        <v>0.58799999999999997</v>
      </c>
      <c r="G44" s="5">
        <v>0.68</v>
      </c>
      <c r="H44" s="5">
        <v>0.76</v>
      </c>
      <c r="I44" s="5">
        <v>0.82499999999999996</v>
      </c>
      <c r="J44" s="5">
        <v>0.871</v>
      </c>
      <c r="K44" s="5">
        <v>0.91200000000000003</v>
      </c>
      <c r="L44" s="5">
        <v>0.95699999999999996</v>
      </c>
      <c r="M44" s="5">
        <v>0.995</v>
      </c>
      <c r="N44" s="5">
        <v>1.032</v>
      </c>
      <c r="O44" s="5">
        <v>1.0680000000000001</v>
      </c>
      <c r="P44" s="5">
        <v>1.0880000000000001</v>
      </c>
      <c r="Q44" s="5">
        <v>1.107</v>
      </c>
      <c r="R44" s="5">
        <v>1.119</v>
      </c>
      <c r="S44" s="5">
        <v>1.1359999999999999</v>
      </c>
      <c r="T44" s="5">
        <v>1.137</v>
      </c>
      <c r="U44" s="5">
        <v>1.1519999999999999</v>
      </c>
      <c r="V44" s="5">
        <v>1.167</v>
      </c>
      <c r="W44" s="5">
        <v>1.167</v>
      </c>
      <c r="X44" s="5">
        <v>1.1910000000000001</v>
      </c>
      <c r="Y44" s="5">
        <v>1.173</v>
      </c>
      <c r="Z44" s="5">
        <v>1.1639999999999999</v>
      </c>
      <c r="AA44" s="5">
        <v>1.1870000000000001</v>
      </c>
      <c r="AB44" s="5">
        <v>1.17</v>
      </c>
      <c r="AC44" s="5">
        <v>1.2270000000000001</v>
      </c>
      <c r="AD44" s="5">
        <v>29.780999999999999</v>
      </c>
    </row>
    <row r="45" spans="1:30" x14ac:dyDescent="0.3">
      <c r="A45" s="12"/>
      <c r="B45" s="12"/>
      <c r="C45" s="12"/>
      <c r="D45" s="1">
        <v>42</v>
      </c>
      <c r="E45" s="5">
        <v>0.51600000000000001</v>
      </c>
      <c r="F45" s="5">
        <v>0.59199999999999997</v>
      </c>
      <c r="G45" s="5">
        <v>0.67700000000000005</v>
      </c>
      <c r="H45" s="5">
        <v>0.752</v>
      </c>
      <c r="I45" s="5">
        <v>0.82699999999999996</v>
      </c>
      <c r="J45" s="5">
        <v>0.86699999999999999</v>
      </c>
      <c r="K45" s="5">
        <v>0.91900000000000004</v>
      </c>
      <c r="L45" s="5">
        <v>0.96</v>
      </c>
      <c r="M45" s="5">
        <v>1.0029999999999999</v>
      </c>
      <c r="N45" s="5">
        <v>1.0329999999999999</v>
      </c>
      <c r="O45" s="5">
        <v>1.0609999999999999</v>
      </c>
      <c r="P45" s="5">
        <v>1.0900000000000001</v>
      </c>
      <c r="Q45" s="5">
        <v>1.1060000000000001</v>
      </c>
      <c r="R45" s="5">
        <v>1.121</v>
      </c>
      <c r="S45" s="5">
        <v>1.137</v>
      </c>
      <c r="T45" s="5">
        <v>1.147</v>
      </c>
      <c r="U45" s="5">
        <v>1.153</v>
      </c>
      <c r="V45" s="5">
        <v>1.1539999999999999</v>
      </c>
      <c r="W45" s="5">
        <v>1.1579999999999999</v>
      </c>
      <c r="X45" s="5">
        <v>1.1659999999999999</v>
      </c>
      <c r="Y45" s="5">
        <v>1.169</v>
      </c>
      <c r="Z45" s="5">
        <v>1.1830000000000001</v>
      </c>
      <c r="AA45" s="5">
        <v>1.179</v>
      </c>
      <c r="AB45" s="5">
        <v>1.1779999999999999</v>
      </c>
      <c r="AC45" s="5">
        <v>1.196</v>
      </c>
      <c r="AD45" s="5">
        <v>29.538</v>
      </c>
    </row>
    <row r="46" spans="1:30" x14ac:dyDescent="0.3">
      <c r="A46" s="12"/>
      <c r="B46" s="12"/>
      <c r="C46" s="12"/>
      <c r="D46" s="1">
        <v>43</v>
      </c>
      <c r="E46" s="5">
        <v>0.55500000000000005</v>
      </c>
      <c r="F46" s="5">
        <v>0.59599999999999997</v>
      </c>
      <c r="G46" s="5">
        <v>0.68500000000000005</v>
      </c>
      <c r="H46" s="5">
        <v>0.79500000000000004</v>
      </c>
      <c r="I46" s="5">
        <v>0.82899999999999996</v>
      </c>
      <c r="J46" s="5">
        <v>0.874</v>
      </c>
      <c r="K46" s="5">
        <v>0.91900000000000004</v>
      </c>
      <c r="L46" s="5">
        <v>0.96399999999999997</v>
      </c>
      <c r="M46" s="5">
        <v>1.004</v>
      </c>
      <c r="N46" s="5">
        <v>1.0349999999999999</v>
      </c>
      <c r="O46" s="5">
        <v>1.071</v>
      </c>
      <c r="P46" s="5">
        <v>1.0980000000000001</v>
      </c>
      <c r="Q46" s="5">
        <v>1.1060000000000001</v>
      </c>
      <c r="R46" s="5">
        <v>1.121</v>
      </c>
      <c r="S46" s="5">
        <v>1.1359999999999999</v>
      </c>
      <c r="T46" s="5">
        <v>1.1399999999999999</v>
      </c>
      <c r="U46" s="5">
        <v>1.1599999999999999</v>
      </c>
      <c r="V46" s="5">
        <v>1.1599999999999999</v>
      </c>
      <c r="W46" s="5">
        <v>1.167</v>
      </c>
      <c r="X46" s="5">
        <v>1.1579999999999999</v>
      </c>
      <c r="Y46" s="5">
        <v>1.161</v>
      </c>
      <c r="Z46" s="5">
        <v>1.1779999999999999</v>
      </c>
      <c r="AA46" s="5">
        <v>1.1779999999999999</v>
      </c>
      <c r="AB46" s="5">
        <v>1.179</v>
      </c>
      <c r="AC46" s="5">
        <v>1.19</v>
      </c>
      <c r="AD46" s="5">
        <v>29.692</v>
      </c>
    </row>
    <row r="47" spans="1:30" x14ac:dyDescent="0.3">
      <c r="A47" s="12"/>
      <c r="B47" s="12"/>
      <c r="C47" s="12"/>
      <c r="D47" s="1">
        <v>44</v>
      </c>
      <c r="E47" s="5">
        <v>0.51100000000000001</v>
      </c>
      <c r="F47" s="5">
        <v>0.58799999999999997</v>
      </c>
      <c r="G47" s="5">
        <v>0.69099999999999995</v>
      </c>
      <c r="H47" s="5">
        <v>0.75700000000000001</v>
      </c>
      <c r="I47" s="5">
        <v>0.82099999999999995</v>
      </c>
      <c r="J47" s="5">
        <v>0.86399999999999999</v>
      </c>
      <c r="K47" s="5">
        <v>0.91800000000000004</v>
      </c>
      <c r="L47" s="5">
        <v>0.95699999999999996</v>
      </c>
      <c r="M47" s="5">
        <v>0.998</v>
      </c>
      <c r="N47" s="5">
        <v>1.0269999999999999</v>
      </c>
      <c r="O47" s="5">
        <v>1.056</v>
      </c>
      <c r="P47" s="5">
        <v>1.085</v>
      </c>
      <c r="Q47" s="5">
        <v>1.0980000000000001</v>
      </c>
      <c r="R47" s="5">
        <v>1.115</v>
      </c>
      <c r="S47" s="5">
        <v>1.1299999999999999</v>
      </c>
      <c r="T47" s="5">
        <v>1.1419999999999999</v>
      </c>
      <c r="U47" s="5">
        <v>1.1439999999999999</v>
      </c>
      <c r="V47" s="5">
        <v>1.155</v>
      </c>
      <c r="W47" s="5">
        <v>1.151</v>
      </c>
      <c r="X47" s="5">
        <v>1.161</v>
      </c>
      <c r="Y47" s="5">
        <v>1.161</v>
      </c>
      <c r="Z47" s="5">
        <v>1.1719999999999999</v>
      </c>
      <c r="AA47" s="5">
        <v>1.173</v>
      </c>
      <c r="AB47" s="5">
        <v>1.1890000000000001</v>
      </c>
      <c r="AC47" s="5">
        <v>1.196</v>
      </c>
      <c r="AD47" s="5">
        <v>29.914000000000001</v>
      </c>
    </row>
    <row r="48" spans="1:30" x14ac:dyDescent="0.3">
      <c r="A48" s="12"/>
      <c r="B48" s="12"/>
      <c r="C48" s="12"/>
      <c r="D48" s="1">
        <v>45</v>
      </c>
      <c r="E48" s="5">
        <v>0.52500000000000002</v>
      </c>
      <c r="F48" s="5">
        <v>0.6</v>
      </c>
      <c r="G48" s="5">
        <v>0.68600000000000005</v>
      </c>
      <c r="H48" s="5">
        <v>0.76100000000000001</v>
      </c>
      <c r="I48" s="5">
        <v>0.82799999999999996</v>
      </c>
      <c r="J48" s="5">
        <v>0.873</v>
      </c>
      <c r="K48" s="5">
        <v>0.91900000000000004</v>
      </c>
      <c r="L48" s="5">
        <v>0.96399999999999997</v>
      </c>
      <c r="M48" s="5">
        <v>0.997</v>
      </c>
      <c r="N48" s="5">
        <v>1.034</v>
      </c>
      <c r="O48" s="5">
        <v>1.0660000000000001</v>
      </c>
      <c r="P48" s="5">
        <v>1.1020000000000001</v>
      </c>
      <c r="Q48" s="5">
        <v>1.1200000000000001</v>
      </c>
      <c r="R48" s="5">
        <v>1.141</v>
      </c>
      <c r="S48" s="5">
        <v>1.161</v>
      </c>
      <c r="T48" s="5">
        <v>1.1539999999999999</v>
      </c>
      <c r="U48" s="5">
        <v>1.1679999999999999</v>
      </c>
      <c r="V48" s="5">
        <v>1.1619999999999999</v>
      </c>
      <c r="W48" s="5">
        <v>1.1639999999999999</v>
      </c>
      <c r="X48" s="5">
        <v>1.1859999999999999</v>
      </c>
      <c r="Y48" s="5">
        <v>1.206</v>
      </c>
      <c r="Z48" s="5">
        <v>1.232</v>
      </c>
      <c r="AA48" s="5">
        <v>1.212</v>
      </c>
      <c r="AB48" s="5">
        <v>1.1950000000000001</v>
      </c>
      <c r="AC48" s="5">
        <v>1.216</v>
      </c>
      <c r="AD48" s="5">
        <v>29.756</v>
      </c>
    </row>
    <row r="49" spans="1:30" x14ac:dyDescent="0.3">
      <c r="A49" s="12"/>
      <c r="B49" s="12"/>
      <c r="C49" s="12"/>
      <c r="D49" s="1">
        <v>46</v>
      </c>
      <c r="E49" s="5">
        <v>0.52100000000000002</v>
      </c>
      <c r="F49" s="5">
        <v>0.6</v>
      </c>
      <c r="G49" s="5">
        <v>0.69099999999999995</v>
      </c>
      <c r="H49" s="5">
        <v>0.76700000000000002</v>
      </c>
      <c r="I49" s="5">
        <v>0.84099999999999997</v>
      </c>
      <c r="J49" s="5">
        <v>0.876</v>
      </c>
      <c r="K49" s="5">
        <v>0.92900000000000005</v>
      </c>
      <c r="L49" s="5">
        <v>0.97099999999999997</v>
      </c>
      <c r="M49" s="5">
        <v>1.014</v>
      </c>
      <c r="N49" s="5">
        <v>1.0469999999999999</v>
      </c>
      <c r="O49" s="5">
        <v>1.073</v>
      </c>
      <c r="P49" s="5">
        <v>1.1080000000000001</v>
      </c>
      <c r="Q49" s="5">
        <v>1.135</v>
      </c>
      <c r="R49" s="5">
        <v>1.1499999999999999</v>
      </c>
      <c r="S49" s="5">
        <v>1.1659999999999999</v>
      </c>
      <c r="T49" s="5">
        <v>1.1679999999999999</v>
      </c>
      <c r="U49" s="5">
        <v>1.161</v>
      </c>
      <c r="V49" s="5">
        <v>1.1619999999999999</v>
      </c>
      <c r="W49" s="5">
        <v>1.179</v>
      </c>
      <c r="X49" s="5">
        <v>1.1919999999999999</v>
      </c>
      <c r="Y49" s="5">
        <v>1.2170000000000001</v>
      </c>
      <c r="Z49" s="5">
        <v>1.2270000000000001</v>
      </c>
      <c r="AA49" s="5">
        <v>1.228</v>
      </c>
      <c r="AB49" s="5">
        <v>1.214</v>
      </c>
      <c r="AC49" s="5">
        <v>1.216</v>
      </c>
      <c r="AD49" s="5">
        <v>29.361999999999998</v>
      </c>
    </row>
    <row r="50" spans="1:30" x14ac:dyDescent="0.3">
      <c r="A50" s="12"/>
      <c r="B50" s="12"/>
      <c r="C50" s="12"/>
      <c r="D50" s="1">
        <v>47</v>
      </c>
      <c r="E50" s="5">
        <v>0.52500000000000002</v>
      </c>
      <c r="F50" s="5">
        <v>0.61199999999999999</v>
      </c>
      <c r="G50" s="5">
        <v>0.7</v>
      </c>
      <c r="H50" s="5">
        <v>0.79800000000000004</v>
      </c>
      <c r="I50" s="5">
        <v>0.83</v>
      </c>
      <c r="J50" s="5">
        <v>0.88200000000000001</v>
      </c>
      <c r="K50" s="5">
        <v>0.92300000000000004</v>
      </c>
      <c r="L50" s="5">
        <v>0.95799999999999996</v>
      </c>
      <c r="M50" s="5">
        <v>0.997</v>
      </c>
      <c r="N50" s="5">
        <v>1.028</v>
      </c>
      <c r="O50" s="5">
        <v>1.0580000000000001</v>
      </c>
      <c r="P50" s="5">
        <v>1.0820000000000001</v>
      </c>
      <c r="Q50" s="5">
        <v>1.1020000000000001</v>
      </c>
      <c r="R50" s="5">
        <v>1.117</v>
      </c>
      <c r="S50" s="5">
        <v>1.129</v>
      </c>
      <c r="T50" s="5">
        <v>1.1399999999999999</v>
      </c>
      <c r="U50" s="5">
        <v>1.1499999999999999</v>
      </c>
      <c r="V50" s="5">
        <v>1.149</v>
      </c>
      <c r="W50" s="5">
        <v>1.1499999999999999</v>
      </c>
      <c r="X50" s="5">
        <v>1.1479999999999999</v>
      </c>
      <c r="Y50" s="5">
        <v>1.1519999999999999</v>
      </c>
      <c r="Z50" s="5">
        <v>1.151</v>
      </c>
      <c r="AA50" s="5">
        <v>1.179</v>
      </c>
      <c r="AB50" s="5">
        <v>1.161</v>
      </c>
      <c r="AC50" s="5">
        <v>1.19</v>
      </c>
      <c r="AD50" s="5">
        <v>29.779</v>
      </c>
    </row>
    <row r="51" spans="1:30" x14ac:dyDescent="0.3">
      <c r="A51" s="12"/>
      <c r="B51" s="12"/>
      <c r="C51" s="12"/>
      <c r="D51" s="1">
        <v>48</v>
      </c>
      <c r="E51" s="5">
        <v>0.55700000000000005</v>
      </c>
      <c r="F51" s="5">
        <v>0.626</v>
      </c>
      <c r="G51" s="5">
        <v>0.70599999999999996</v>
      </c>
      <c r="H51" s="5">
        <v>0.78</v>
      </c>
      <c r="I51" s="5">
        <v>0.84299999999999997</v>
      </c>
      <c r="J51" s="5">
        <v>0.89800000000000002</v>
      </c>
      <c r="K51" s="5">
        <v>0.94099999999999995</v>
      </c>
      <c r="L51" s="5">
        <v>0.97599999999999998</v>
      </c>
      <c r="M51" s="5">
        <v>1.0049999999999999</v>
      </c>
      <c r="N51" s="5">
        <v>1.042</v>
      </c>
      <c r="O51" s="5">
        <v>1.075</v>
      </c>
      <c r="P51" s="5">
        <v>1.0980000000000001</v>
      </c>
      <c r="Q51" s="5">
        <v>1.107</v>
      </c>
      <c r="R51" s="5">
        <v>1.1240000000000001</v>
      </c>
      <c r="S51" s="5">
        <v>1.135</v>
      </c>
      <c r="T51" s="5">
        <v>1.149</v>
      </c>
      <c r="U51" s="5">
        <v>1.155</v>
      </c>
      <c r="V51" s="5">
        <v>1.165</v>
      </c>
      <c r="W51" s="5">
        <v>1.1659999999999999</v>
      </c>
      <c r="X51" s="5">
        <v>1.1639999999999999</v>
      </c>
      <c r="Y51" s="5">
        <v>1.1719999999999999</v>
      </c>
      <c r="Z51" s="5">
        <v>1.2010000000000001</v>
      </c>
      <c r="AA51" s="5">
        <v>1.1850000000000001</v>
      </c>
      <c r="AB51" s="5">
        <v>1.198</v>
      </c>
      <c r="AC51" s="5">
        <v>1.204</v>
      </c>
      <c r="AD51" s="5">
        <v>29.946999999999999</v>
      </c>
    </row>
    <row r="52" spans="1:30" x14ac:dyDescent="0.3">
      <c r="A52" s="12"/>
      <c r="B52" s="12"/>
      <c r="C52" s="12"/>
      <c r="D52" s="1">
        <v>49</v>
      </c>
      <c r="E52" s="5">
        <v>0.53200000000000003</v>
      </c>
      <c r="F52" s="5">
        <v>0.61699999999999999</v>
      </c>
      <c r="G52" s="5">
        <v>0.71299999999999997</v>
      </c>
      <c r="H52" s="5">
        <v>0.78500000000000003</v>
      </c>
      <c r="I52" s="5">
        <v>0.84599999999999997</v>
      </c>
      <c r="J52" s="5">
        <v>0.89900000000000002</v>
      </c>
      <c r="K52" s="5">
        <v>0.94799999999999995</v>
      </c>
      <c r="L52" s="5">
        <v>0.98499999999999999</v>
      </c>
      <c r="M52" s="5">
        <v>1.018</v>
      </c>
      <c r="N52" s="5">
        <v>1.0529999999999999</v>
      </c>
      <c r="O52" s="5">
        <v>1.0860000000000001</v>
      </c>
      <c r="P52" s="5">
        <v>1.1040000000000001</v>
      </c>
      <c r="Q52" s="5">
        <v>1.123</v>
      </c>
      <c r="R52" s="5">
        <v>1.137</v>
      </c>
      <c r="S52" s="5">
        <v>1.1559999999999999</v>
      </c>
      <c r="T52" s="5">
        <v>1.157</v>
      </c>
      <c r="U52" s="5">
        <v>1.173</v>
      </c>
      <c r="V52" s="5">
        <v>1.1859999999999999</v>
      </c>
      <c r="W52" s="5">
        <v>1.1679999999999999</v>
      </c>
      <c r="X52" s="5">
        <v>1.1659999999999999</v>
      </c>
      <c r="Y52" s="5">
        <v>1.173</v>
      </c>
      <c r="Z52" s="5">
        <v>1.2010000000000001</v>
      </c>
      <c r="AA52" s="5">
        <v>1.212</v>
      </c>
      <c r="AB52" s="5">
        <v>1.1890000000000001</v>
      </c>
      <c r="AC52" s="5">
        <v>1.214</v>
      </c>
      <c r="AD52" s="5">
        <v>29.777000000000001</v>
      </c>
    </row>
    <row r="53" spans="1:30" x14ac:dyDescent="0.3">
      <c r="A53" s="12"/>
      <c r="B53" s="12"/>
      <c r="C53" s="12"/>
      <c r="D53" s="1">
        <v>50</v>
      </c>
      <c r="E53" s="5">
        <v>0.52700000000000002</v>
      </c>
      <c r="F53" s="5">
        <v>0.62</v>
      </c>
      <c r="G53" s="5">
        <v>0.70499999999999996</v>
      </c>
      <c r="H53" s="5">
        <v>0.78200000000000003</v>
      </c>
      <c r="I53" s="5">
        <v>0.84299999999999997</v>
      </c>
      <c r="J53" s="5">
        <v>0.89900000000000002</v>
      </c>
      <c r="K53" s="5">
        <v>0.93899999999999995</v>
      </c>
      <c r="L53" s="5">
        <v>0.99099999999999999</v>
      </c>
      <c r="M53" s="5">
        <v>1.02</v>
      </c>
      <c r="N53" s="5">
        <v>1.054</v>
      </c>
      <c r="O53" s="5">
        <v>1.083</v>
      </c>
      <c r="P53" s="5">
        <v>1.1100000000000001</v>
      </c>
      <c r="Q53" s="5">
        <v>1.119</v>
      </c>
      <c r="R53" s="5">
        <v>1.1339999999999999</v>
      </c>
      <c r="S53" s="5">
        <v>1.163</v>
      </c>
      <c r="T53" s="5">
        <v>1.1599999999999999</v>
      </c>
      <c r="U53" s="5">
        <v>1.173</v>
      </c>
      <c r="V53" s="5">
        <v>1.1819999999999999</v>
      </c>
      <c r="W53" s="5">
        <v>1.181</v>
      </c>
      <c r="X53" s="5">
        <v>1.1970000000000001</v>
      </c>
      <c r="Y53" s="5">
        <v>1.204</v>
      </c>
      <c r="Z53" s="5">
        <v>1.2110000000000001</v>
      </c>
      <c r="AA53" s="5">
        <v>1.206</v>
      </c>
      <c r="AB53" s="5">
        <v>1.1879999999999999</v>
      </c>
      <c r="AC53" s="5">
        <v>1.2250000000000001</v>
      </c>
      <c r="AD53" s="5">
        <v>29.937999999999999</v>
      </c>
    </row>
    <row r="54" spans="1:30" x14ac:dyDescent="0.3">
      <c r="A54" s="12"/>
      <c r="B54" s="12"/>
      <c r="C54" s="12"/>
      <c r="D54" s="1">
        <v>51</v>
      </c>
      <c r="E54" s="5">
        <v>0.52600000000000002</v>
      </c>
      <c r="F54" s="5">
        <v>0.59599999999999997</v>
      </c>
      <c r="G54" s="5">
        <v>0.68400000000000005</v>
      </c>
      <c r="H54" s="5">
        <v>0.75900000000000001</v>
      </c>
      <c r="I54" s="5">
        <v>0.82299999999999995</v>
      </c>
      <c r="J54" s="5">
        <v>0.872</v>
      </c>
      <c r="K54" s="5">
        <v>0.93500000000000005</v>
      </c>
      <c r="L54" s="5">
        <v>0.95799999999999996</v>
      </c>
      <c r="M54" s="5">
        <v>1.006</v>
      </c>
      <c r="N54" s="5">
        <v>1.0349999999999999</v>
      </c>
      <c r="O54" s="5">
        <v>1.0680000000000001</v>
      </c>
      <c r="P54" s="5">
        <v>1.1000000000000001</v>
      </c>
      <c r="Q54" s="5">
        <v>1.1220000000000001</v>
      </c>
      <c r="R54" s="5">
        <v>1.1319999999999999</v>
      </c>
      <c r="S54" s="5">
        <v>1.147</v>
      </c>
      <c r="T54" s="5">
        <v>1.165</v>
      </c>
      <c r="U54" s="5">
        <v>1.1639999999999999</v>
      </c>
      <c r="V54" s="5">
        <v>1.1579999999999999</v>
      </c>
      <c r="W54" s="5">
        <v>1.163</v>
      </c>
      <c r="X54" s="5">
        <v>1.1890000000000001</v>
      </c>
      <c r="Y54" s="5">
        <v>1.1950000000000001</v>
      </c>
      <c r="Z54" s="5">
        <v>1.204</v>
      </c>
      <c r="AA54" s="5">
        <v>1.2170000000000001</v>
      </c>
      <c r="AB54" s="5">
        <v>1.208</v>
      </c>
      <c r="AC54" s="5">
        <v>1.224</v>
      </c>
      <c r="AD54" s="5">
        <v>29.861000000000001</v>
      </c>
    </row>
    <row r="55" spans="1:30" x14ac:dyDescent="0.3">
      <c r="A55" s="12"/>
      <c r="B55" s="12"/>
      <c r="C55" s="12"/>
      <c r="D55" s="1">
        <v>52</v>
      </c>
      <c r="E55" s="5">
        <v>0.51100000000000001</v>
      </c>
      <c r="F55" s="5">
        <v>0.58099999999999996</v>
      </c>
      <c r="G55" s="5">
        <v>0.67300000000000004</v>
      </c>
      <c r="H55" s="5">
        <v>0.747</v>
      </c>
      <c r="I55" s="5">
        <v>0.81399999999999995</v>
      </c>
      <c r="J55" s="5">
        <v>0.86</v>
      </c>
      <c r="K55" s="5">
        <v>0.91700000000000004</v>
      </c>
      <c r="L55" s="5">
        <v>0.97099999999999997</v>
      </c>
      <c r="M55" s="5">
        <v>1.008</v>
      </c>
      <c r="N55" s="5">
        <v>1.0349999999999999</v>
      </c>
      <c r="O55" s="5">
        <v>1.0569999999999999</v>
      </c>
      <c r="P55" s="5">
        <v>1.0740000000000001</v>
      </c>
      <c r="Q55" s="5">
        <v>1.089</v>
      </c>
      <c r="R55" s="5">
        <v>1.115</v>
      </c>
      <c r="S55" s="5">
        <v>1.123</v>
      </c>
      <c r="T55" s="5">
        <v>1.1279999999999999</v>
      </c>
      <c r="U55" s="5">
        <v>1.137</v>
      </c>
      <c r="V55" s="5">
        <v>1.145</v>
      </c>
      <c r="W55" s="5">
        <v>1.1419999999999999</v>
      </c>
      <c r="X55" s="5">
        <v>1.145</v>
      </c>
      <c r="Y55" s="5">
        <v>1.1499999999999999</v>
      </c>
      <c r="Z55" s="5">
        <v>1.171</v>
      </c>
      <c r="AA55" s="5">
        <v>1.1619999999999999</v>
      </c>
      <c r="AB55" s="5">
        <v>1.161</v>
      </c>
      <c r="AC55" s="5">
        <v>1.1539999999999999</v>
      </c>
      <c r="AD55" s="5">
        <v>29.652999999999999</v>
      </c>
    </row>
    <row r="56" spans="1:30" x14ac:dyDescent="0.3">
      <c r="A56" s="12"/>
      <c r="B56" s="12"/>
      <c r="C56" s="12"/>
      <c r="D56" s="1">
        <v>53</v>
      </c>
      <c r="E56" s="5">
        <v>0.52500000000000002</v>
      </c>
      <c r="F56" s="5">
        <v>0.60199999999999998</v>
      </c>
      <c r="G56" s="5">
        <v>0.68400000000000005</v>
      </c>
      <c r="H56" s="5">
        <v>0.76900000000000002</v>
      </c>
      <c r="I56" s="5">
        <v>0.82699999999999996</v>
      </c>
      <c r="J56" s="5">
        <v>0.876</v>
      </c>
      <c r="K56" s="5">
        <v>0.91600000000000004</v>
      </c>
      <c r="L56" s="5">
        <v>0.96</v>
      </c>
      <c r="M56" s="5">
        <v>0.999</v>
      </c>
      <c r="N56" s="5">
        <v>1.0369999999999999</v>
      </c>
      <c r="O56" s="5">
        <v>1.0609999999999999</v>
      </c>
      <c r="P56" s="5">
        <v>1.0880000000000001</v>
      </c>
      <c r="Q56" s="5">
        <v>1.0980000000000001</v>
      </c>
      <c r="R56" s="5">
        <v>1.113</v>
      </c>
      <c r="S56" s="5">
        <v>1.1319999999999999</v>
      </c>
      <c r="T56" s="5">
        <v>1.141</v>
      </c>
      <c r="U56" s="5">
        <v>1.145</v>
      </c>
      <c r="V56" s="5">
        <v>1.1679999999999999</v>
      </c>
      <c r="W56" s="5">
        <v>1.173</v>
      </c>
      <c r="X56" s="5">
        <v>1.1579999999999999</v>
      </c>
      <c r="Y56" s="5">
        <v>1.159</v>
      </c>
      <c r="Z56" s="5">
        <v>1.194</v>
      </c>
      <c r="AA56" s="5">
        <v>1.1879999999999999</v>
      </c>
      <c r="AB56" s="5">
        <v>1.167</v>
      </c>
      <c r="AC56" s="5">
        <v>1.1919999999999999</v>
      </c>
      <c r="AD56" s="5">
        <v>29.486000000000001</v>
      </c>
    </row>
    <row r="57" spans="1:30" x14ac:dyDescent="0.3">
      <c r="A57" s="12"/>
      <c r="B57" s="12"/>
      <c r="C57" s="12"/>
      <c r="D57" s="1">
        <v>54</v>
      </c>
      <c r="E57" s="5">
        <v>0.52900000000000003</v>
      </c>
      <c r="F57" s="5">
        <v>0.59899999999999998</v>
      </c>
      <c r="G57" s="5">
        <v>0.68700000000000006</v>
      </c>
      <c r="H57" s="5">
        <v>0.77600000000000002</v>
      </c>
      <c r="I57" s="5">
        <v>0.83499999999999996</v>
      </c>
      <c r="J57" s="5">
        <v>0.878</v>
      </c>
      <c r="K57" s="5">
        <v>0.91900000000000004</v>
      </c>
      <c r="L57" s="5">
        <v>0.96299999999999997</v>
      </c>
      <c r="M57" s="5">
        <v>1.002</v>
      </c>
      <c r="N57" s="5">
        <v>1.0369999999999999</v>
      </c>
      <c r="O57" s="5">
        <v>1.0589999999999999</v>
      </c>
      <c r="P57" s="5">
        <v>1.0920000000000001</v>
      </c>
      <c r="Q57" s="5">
        <v>1.107</v>
      </c>
      <c r="R57" s="5">
        <v>1.1259999999999999</v>
      </c>
      <c r="S57" s="5">
        <v>1.133</v>
      </c>
      <c r="T57" s="5">
        <v>1.141</v>
      </c>
      <c r="U57" s="5">
        <v>1.151</v>
      </c>
      <c r="V57" s="5">
        <v>1.1619999999999999</v>
      </c>
      <c r="W57" s="5">
        <v>1.161</v>
      </c>
      <c r="X57" s="5">
        <v>1.155</v>
      </c>
      <c r="Y57" s="5">
        <v>1.1659999999999999</v>
      </c>
      <c r="Z57" s="5">
        <v>1.198</v>
      </c>
      <c r="AA57" s="5">
        <v>1.1839999999999999</v>
      </c>
      <c r="AB57" s="5">
        <v>1.1830000000000001</v>
      </c>
      <c r="AC57" s="5">
        <v>1.1839999999999999</v>
      </c>
      <c r="AD57" s="5">
        <v>29.454999999999998</v>
      </c>
    </row>
    <row r="58" spans="1:30" x14ac:dyDescent="0.3">
      <c r="A58" s="12"/>
      <c r="B58" s="12"/>
      <c r="C58" s="12"/>
      <c r="D58" s="1">
        <v>55</v>
      </c>
      <c r="E58" s="5">
        <v>0.52</v>
      </c>
      <c r="F58" s="5">
        <v>0.59599999999999997</v>
      </c>
      <c r="G58" s="5">
        <v>0.68200000000000005</v>
      </c>
      <c r="H58" s="5">
        <v>0.76</v>
      </c>
      <c r="I58" s="5">
        <v>0.82</v>
      </c>
      <c r="J58" s="5">
        <v>0.87</v>
      </c>
      <c r="K58" s="5">
        <v>0.91700000000000004</v>
      </c>
      <c r="L58" s="5">
        <v>0.96299999999999997</v>
      </c>
      <c r="M58" s="5">
        <v>1.0009999999999999</v>
      </c>
      <c r="N58" s="5">
        <v>1.032</v>
      </c>
      <c r="O58" s="5">
        <v>1.06</v>
      </c>
      <c r="P58" s="5">
        <v>1.0880000000000001</v>
      </c>
      <c r="Q58" s="5">
        <v>1.103</v>
      </c>
      <c r="R58" s="5">
        <v>1.1240000000000001</v>
      </c>
      <c r="S58" s="5">
        <v>1.1479999999999999</v>
      </c>
      <c r="T58" s="5">
        <v>1.157</v>
      </c>
      <c r="U58" s="5">
        <v>1.1830000000000001</v>
      </c>
      <c r="V58" s="5">
        <v>1.169</v>
      </c>
      <c r="W58" s="5">
        <v>1.161</v>
      </c>
      <c r="X58" s="5">
        <v>1.159</v>
      </c>
      <c r="Y58" s="5">
        <v>1.161</v>
      </c>
      <c r="Z58" s="5">
        <v>1.19</v>
      </c>
      <c r="AA58" s="5">
        <v>1.1910000000000001</v>
      </c>
      <c r="AB58" s="5">
        <v>1.1830000000000001</v>
      </c>
      <c r="AC58" s="5">
        <v>1.1990000000000001</v>
      </c>
      <c r="AD58" s="5">
        <v>29.555</v>
      </c>
    </row>
    <row r="59" spans="1:30" x14ac:dyDescent="0.3">
      <c r="A59" s="12"/>
      <c r="B59" s="12"/>
      <c r="C59" s="12"/>
      <c r="D59" s="1">
        <v>56</v>
      </c>
      <c r="E59" s="5">
        <v>0.52200000000000002</v>
      </c>
      <c r="F59" s="5">
        <v>0.59899999999999998</v>
      </c>
      <c r="G59" s="5">
        <v>0.68500000000000005</v>
      </c>
      <c r="H59" s="5">
        <v>0.76200000000000001</v>
      </c>
      <c r="I59" s="5">
        <v>0.82599999999999996</v>
      </c>
      <c r="J59" s="5">
        <v>0.878</v>
      </c>
      <c r="K59" s="5">
        <v>0.92300000000000004</v>
      </c>
      <c r="L59" s="5">
        <v>0.96</v>
      </c>
      <c r="M59" s="5">
        <v>0.998</v>
      </c>
      <c r="N59" s="5">
        <v>1.0329999999999999</v>
      </c>
      <c r="O59" s="5">
        <v>1.0660000000000001</v>
      </c>
      <c r="P59" s="5">
        <v>1.097</v>
      </c>
      <c r="Q59" s="5">
        <v>1.1040000000000001</v>
      </c>
      <c r="R59" s="5">
        <v>1.1140000000000001</v>
      </c>
      <c r="S59" s="5">
        <v>1.1259999999999999</v>
      </c>
      <c r="T59" s="5">
        <v>1.1379999999999999</v>
      </c>
      <c r="U59" s="5">
        <v>1.149</v>
      </c>
      <c r="V59" s="5">
        <v>1.1519999999999999</v>
      </c>
      <c r="W59" s="5">
        <v>1.155</v>
      </c>
      <c r="X59" s="5">
        <v>1.155</v>
      </c>
      <c r="Y59" s="5">
        <v>1.1759999999999999</v>
      </c>
      <c r="Z59" s="5">
        <v>1.169</v>
      </c>
      <c r="AA59" s="5">
        <v>1.163</v>
      </c>
      <c r="AB59" s="5">
        <v>1.169</v>
      </c>
      <c r="AC59" s="5">
        <v>1.1910000000000001</v>
      </c>
      <c r="AD59" s="5">
        <v>29.625</v>
      </c>
    </row>
    <row r="60" spans="1:30" x14ac:dyDescent="0.3">
      <c r="A60" s="12"/>
      <c r="B60" s="12"/>
      <c r="C60" s="12"/>
      <c r="D60" s="1">
        <v>57</v>
      </c>
      <c r="E60" s="5">
        <v>0.502</v>
      </c>
      <c r="F60" s="5">
        <v>0.59299999999999997</v>
      </c>
      <c r="G60" s="5">
        <v>0.67600000000000005</v>
      </c>
      <c r="H60" s="5">
        <v>0.76800000000000002</v>
      </c>
      <c r="I60" s="5">
        <v>0.83</v>
      </c>
      <c r="J60" s="5">
        <v>0.877</v>
      </c>
      <c r="K60" s="5">
        <v>0.92400000000000004</v>
      </c>
      <c r="L60" s="5">
        <v>0.97299999999999998</v>
      </c>
      <c r="M60" s="5">
        <v>1.008</v>
      </c>
      <c r="N60" s="5">
        <v>1.044</v>
      </c>
      <c r="O60" s="5">
        <v>1.07</v>
      </c>
      <c r="P60" s="5">
        <v>1.0920000000000001</v>
      </c>
      <c r="Q60" s="5">
        <v>1.115</v>
      </c>
      <c r="R60" s="5">
        <v>1.121</v>
      </c>
      <c r="S60" s="5">
        <v>1.1399999999999999</v>
      </c>
      <c r="T60" s="5">
        <v>1.1439999999999999</v>
      </c>
      <c r="U60" s="5">
        <v>1.1559999999999999</v>
      </c>
      <c r="V60" s="5">
        <v>1.161</v>
      </c>
      <c r="W60" s="5">
        <v>1.1739999999999999</v>
      </c>
      <c r="X60" s="5">
        <v>1.1930000000000001</v>
      </c>
      <c r="Y60" s="5">
        <v>1.2230000000000001</v>
      </c>
      <c r="Z60" s="5">
        <v>1.2310000000000001</v>
      </c>
      <c r="AA60" s="5">
        <v>1.1990000000000001</v>
      </c>
      <c r="AB60" s="5">
        <v>1.196</v>
      </c>
      <c r="AC60" s="5">
        <v>1.212</v>
      </c>
      <c r="AD60" s="5">
        <v>29.582000000000001</v>
      </c>
    </row>
    <row r="61" spans="1:30" x14ac:dyDescent="0.3">
      <c r="A61" s="12"/>
      <c r="B61" s="12"/>
      <c r="C61" s="12"/>
      <c r="D61" s="1">
        <v>58</v>
      </c>
      <c r="E61" s="5">
        <v>0.52500000000000002</v>
      </c>
      <c r="F61" s="5">
        <v>0.59899999999999998</v>
      </c>
      <c r="G61" s="5">
        <v>0.69199999999999995</v>
      </c>
      <c r="H61" s="5">
        <v>0.76500000000000001</v>
      </c>
      <c r="I61" s="5">
        <v>0.83</v>
      </c>
      <c r="J61" s="5">
        <v>0.88</v>
      </c>
      <c r="K61" s="5">
        <v>0.92300000000000004</v>
      </c>
      <c r="L61" s="5">
        <v>0.96099999999999997</v>
      </c>
      <c r="M61" s="5">
        <v>1</v>
      </c>
      <c r="N61" s="5">
        <v>1.0369999999999999</v>
      </c>
      <c r="O61" s="5">
        <v>1.069</v>
      </c>
      <c r="P61" s="5">
        <v>1.095</v>
      </c>
      <c r="Q61" s="5">
        <v>1.111</v>
      </c>
      <c r="R61" s="5">
        <v>1.1279999999999999</v>
      </c>
      <c r="S61" s="5">
        <v>1.1459999999999999</v>
      </c>
      <c r="T61" s="5">
        <v>1.145</v>
      </c>
      <c r="U61" s="5">
        <v>1.155</v>
      </c>
      <c r="V61" s="5">
        <v>1.1559999999999999</v>
      </c>
      <c r="W61" s="5">
        <v>1.1539999999999999</v>
      </c>
      <c r="X61" s="5">
        <v>1.159</v>
      </c>
      <c r="Y61" s="5">
        <v>1.175</v>
      </c>
      <c r="Z61" s="5">
        <v>1.194</v>
      </c>
      <c r="AA61" s="5">
        <v>1.1739999999999999</v>
      </c>
      <c r="AB61" s="5">
        <v>1.179</v>
      </c>
      <c r="AC61" s="5">
        <v>1.1919999999999999</v>
      </c>
      <c r="AD61" s="5">
        <v>29.608000000000001</v>
      </c>
    </row>
    <row r="62" spans="1:30" x14ac:dyDescent="0.3">
      <c r="A62" s="12"/>
      <c r="B62" s="12"/>
      <c r="C62" s="12"/>
      <c r="D62" s="1">
        <v>59</v>
      </c>
      <c r="E62" s="5">
        <v>0.51</v>
      </c>
      <c r="F62" s="5">
        <v>0.59499999999999997</v>
      </c>
      <c r="G62" s="5">
        <v>0.68200000000000005</v>
      </c>
      <c r="H62" s="5">
        <v>0.76800000000000002</v>
      </c>
      <c r="I62" s="5">
        <v>0.82699999999999996</v>
      </c>
      <c r="J62" s="5">
        <v>0.877</v>
      </c>
      <c r="K62" s="5">
        <v>0.92</v>
      </c>
      <c r="L62" s="5">
        <v>0.96</v>
      </c>
      <c r="M62" s="5">
        <v>1.0029999999999999</v>
      </c>
      <c r="N62" s="5">
        <v>1.036</v>
      </c>
      <c r="O62" s="5">
        <v>1.0649999999999999</v>
      </c>
      <c r="P62" s="5">
        <v>1.093</v>
      </c>
      <c r="Q62" s="5">
        <v>1.1180000000000001</v>
      </c>
      <c r="R62" s="5">
        <v>1.127</v>
      </c>
      <c r="S62" s="5">
        <v>1.141</v>
      </c>
      <c r="T62" s="5">
        <v>1.1519999999999999</v>
      </c>
      <c r="U62" s="5">
        <v>1.159</v>
      </c>
      <c r="V62" s="5">
        <v>1.1579999999999999</v>
      </c>
      <c r="W62" s="5">
        <v>1.157</v>
      </c>
      <c r="X62" s="5">
        <v>1.1739999999999999</v>
      </c>
      <c r="Y62" s="5">
        <v>1.1579999999999999</v>
      </c>
      <c r="Z62" s="5">
        <v>1.165</v>
      </c>
      <c r="AA62" s="5">
        <v>1.2090000000000001</v>
      </c>
      <c r="AB62" s="5">
        <v>1.1950000000000001</v>
      </c>
      <c r="AC62" s="5">
        <v>1.1870000000000001</v>
      </c>
      <c r="AD62" s="5">
        <v>29.67</v>
      </c>
    </row>
    <row r="63" spans="1:30" x14ac:dyDescent="0.3">
      <c r="A63" s="12"/>
      <c r="B63" s="12"/>
      <c r="C63" s="12"/>
      <c r="D63" s="1">
        <v>60</v>
      </c>
      <c r="E63" s="5">
        <v>0.53200000000000003</v>
      </c>
      <c r="F63" s="5">
        <v>0.60199999999999998</v>
      </c>
      <c r="G63" s="5">
        <v>0.69199999999999995</v>
      </c>
      <c r="H63" s="5">
        <v>0.76900000000000002</v>
      </c>
      <c r="I63" s="5">
        <v>0.82899999999999996</v>
      </c>
      <c r="J63" s="5">
        <v>0.875</v>
      </c>
      <c r="K63" s="5">
        <v>0.92100000000000004</v>
      </c>
      <c r="L63" s="5">
        <v>0.96499999999999997</v>
      </c>
      <c r="M63" s="5">
        <v>1.012</v>
      </c>
      <c r="N63" s="5">
        <v>1.0429999999999999</v>
      </c>
      <c r="O63" s="5">
        <v>1.0680000000000001</v>
      </c>
      <c r="P63" s="5">
        <v>1.099</v>
      </c>
      <c r="Q63" s="5">
        <v>1.103</v>
      </c>
      <c r="R63" s="5">
        <v>1.115</v>
      </c>
      <c r="S63" s="5">
        <v>1.1319999999999999</v>
      </c>
      <c r="T63" s="5">
        <v>1.147</v>
      </c>
      <c r="U63" s="5">
        <v>1.1459999999999999</v>
      </c>
      <c r="V63" s="5">
        <v>1.153</v>
      </c>
      <c r="W63" s="5">
        <v>1.153</v>
      </c>
      <c r="X63" s="5">
        <v>1.1599999999999999</v>
      </c>
      <c r="Y63" s="5">
        <v>1.171</v>
      </c>
      <c r="Z63" s="5">
        <v>1.177</v>
      </c>
      <c r="AA63" s="5">
        <v>1.1850000000000001</v>
      </c>
      <c r="AB63" s="5">
        <v>1.163</v>
      </c>
      <c r="AC63" s="5">
        <v>1.18</v>
      </c>
      <c r="AD63" s="5">
        <v>29.78</v>
      </c>
    </row>
    <row r="64" spans="1:30" x14ac:dyDescent="0.3">
      <c r="D64" t="s">
        <v>36</v>
      </c>
      <c r="E64" s="3">
        <f>AVERAGE(E4:E63)</f>
        <v>0.5237166666666665</v>
      </c>
      <c r="F64" s="3">
        <f t="shared" ref="F64:AC64" si="0">AVERAGE(F4:F63)</f>
        <v>0.60184999999999955</v>
      </c>
      <c r="G64" s="3">
        <f t="shared" si="0"/>
        <v>0.68994999999999995</v>
      </c>
      <c r="H64" s="3">
        <f t="shared" si="0"/>
        <v>0.76815000000000022</v>
      </c>
      <c r="I64" s="3">
        <f t="shared" si="0"/>
        <v>0.83031666666666648</v>
      </c>
      <c r="J64" s="3">
        <f t="shared" si="0"/>
        <v>0.87674999999999992</v>
      </c>
      <c r="K64" s="3">
        <f t="shared" si="0"/>
        <v>0.92291666666666672</v>
      </c>
      <c r="L64" s="3">
        <f t="shared" si="0"/>
        <v>0.96401666666666685</v>
      </c>
      <c r="M64" s="3">
        <f t="shared" si="0"/>
        <v>1.0026833333333334</v>
      </c>
      <c r="N64" s="3">
        <f t="shared" si="0"/>
        <v>1.0368999999999997</v>
      </c>
      <c r="O64" s="3">
        <f t="shared" si="0"/>
        <v>1.0661833333333335</v>
      </c>
      <c r="P64" s="3">
        <f t="shared" si="0"/>
        <v>1.0934833333333331</v>
      </c>
      <c r="Q64" s="3">
        <f t="shared" si="0"/>
        <v>1.107183333333333</v>
      </c>
      <c r="R64" s="3">
        <f t="shared" si="0"/>
        <v>1.1231666666666664</v>
      </c>
      <c r="S64" s="3">
        <f t="shared" si="0"/>
        <v>1.1380666666666668</v>
      </c>
      <c r="T64" s="3">
        <f t="shared" si="0"/>
        <v>1.1475500000000003</v>
      </c>
      <c r="U64" s="3">
        <f t="shared" si="0"/>
        <v>1.1551666666666667</v>
      </c>
      <c r="V64" s="3">
        <f t="shared" si="0"/>
        <v>1.1595833333333334</v>
      </c>
      <c r="W64" s="3">
        <f t="shared" si="0"/>
        <v>1.1619999999999999</v>
      </c>
      <c r="X64" s="3">
        <f t="shared" si="0"/>
        <v>1.1651833333333339</v>
      </c>
      <c r="Y64" s="3">
        <f t="shared" si="0"/>
        <v>1.1696333333333333</v>
      </c>
      <c r="Z64" s="3">
        <f t="shared" si="0"/>
        <v>1.1829666666666665</v>
      </c>
      <c r="AA64" s="3">
        <f t="shared" si="0"/>
        <v>1.1904500000000005</v>
      </c>
      <c r="AB64" s="3">
        <f t="shared" si="0"/>
        <v>1.1790499999999997</v>
      </c>
      <c r="AC64" s="3">
        <f t="shared" si="0"/>
        <v>1.1923833333333334</v>
      </c>
      <c r="AD64" s="3">
        <f>AVERAGE(AD4:AD63)</f>
        <v>29.704883333333338</v>
      </c>
    </row>
    <row r="65" spans="3:30" x14ac:dyDescent="0.3">
      <c r="D65" t="s">
        <v>39</v>
      </c>
      <c r="E65" s="3">
        <f>F64-E64</f>
        <v>7.8133333333333055E-2</v>
      </c>
      <c r="F65" s="3">
        <f t="shared" ref="F65:AB65" si="1">G64-F64</f>
        <v>8.81000000000004E-2</v>
      </c>
      <c r="G65" s="3">
        <f t="shared" si="1"/>
        <v>7.8200000000000269E-2</v>
      </c>
      <c r="H65" s="3">
        <f t="shared" si="1"/>
        <v>6.2166666666666259E-2</v>
      </c>
      <c r="I65" s="3">
        <f t="shared" si="1"/>
        <v>4.6433333333333437E-2</v>
      </c>
      <c r="J65" s="3">
        <f t="shared" si="1"/>
        <v>4.61666666666668E-2</v>
      </c>
      <c r="K65" s="3">
        <f t="shared" si="1"/>
        <v>4.1100000000000136E-2</v>
      </c>
      <c r="L65" s="3">
        <f t="shared" si="1"/>
        <v>3.8666666666666516E-2</v>
      </c>
      <c r="M65" s="3">
        <f t="shared" si="1"/>
        <v>3.421666666666634E-2</v>
      </c>
      <c r="N65" s="3">
        <f t="shared" si="1"/>
        <v>2.9283333333333772E-2</v>
      </c>
      <c r="O65" s="3">
        <f t="shared" si="1"/>
        <v>2.7299999999999658E-2</v>
      </c>
      <c r="P65" s="3">
        <f t="shared" si="1"/>
        <v>1.3699999999999823E-2</v>
      </c>
      <c r="Q65" s="3">
        <f t="shared" si="1"/>
        <v>1.598333333333346E-2</v>
      </c>
      <c r="R65" s="3">
        <f t="shared" si="1"/>
        <v>1.4900000000000357E-2</v>
      </c>
      <c r="S65" s="3">
        <f t="shared" si="1"/>
        <v>9.4833333333335101E-3</v>
      </c>
      <c r="T65" s="3">
        <f t="shared" si="1"/>
        <v>7.6166666666663829E-3</v>
      </c>
      <c r="U65" s="3">
        <f t="shared" si="1"/>
        <v>4.4166666666667354E-3</v>
      </c>
      <c r="V65" s="3">
        <f t="shared" si="1"/>
        <v>2.4166666666665115E-3</v>
      </c>
      <c r="W65" s="3">
        <f t="shared" si="1"/>
        <v>3.1833333333339819E-3</v>
      </c>
      <c r="X65" s="3">
        <f t="shared" si="1"/>
        <v>4.4499999999993989E-3</v>
      </c>
      <c r="Y65" s="3">
        <f t="shared" si="1"/>
        <v>1.3333333333333197E-2</v>
      </c>
      <c r="Z65" s="3">
        <f t="shared" si="1"/>
        <v>7.4833333333339525E-3</v>
      </c>
      <c r="AA65" s="3">
        <f t="shared" si="1"/>
        <v>-1.1400000000000743E-2</v>
      </c>
      <c r="AB65" s="3">
        <f t="shared" si="1"/>
        <v>1.3333333333333641E-2</v>
      </c>
      <c r="AC65" s="3"/>
      <c r="AD65" s="3"/>
    </row>
    <row r="66" spans="3:30" x14ac:dyDescent="0.3">
      <c r="D66" t="s">
        <v>40</v>
      </c>
      <c r="E66" s="3">
        <f>MIN(E4:E63)</f>
        <v>0.497</v>
      </c>
      <c r="F66" s="3">
        <f t="shared" ref="F66:AD66" si="2">MIN(F4:F63)</f>
        <v>0.57799999999999996</v>
      </c>
      <c r="G66" s="3">
        <f t="shared" si="2"/>
        <v>0.66</v>
      </c>
      <c r="H66" s="3">
        <f t="shared" si="2"/>
        <v>0.73699999999999999</v>
      </c>
      <c r="I66" s="3">
        <f t="shared" si="2"/>
        <v>0.81399999999999995</v>
      </c>
      <c r="J66" s="3">
        <f t="shared" si="2"/>
        <v>0.85</v>
      </c>
      <c r="K66" s="3">
        <f t="shared" si="2"/>
        <v>0.9</v>
      </c>
      <c r="L66" s="3">
        <f t="shared" si="2"/>
        <v>0.94499999999999995</v>
      </c>
      <c r="M66" s="3">
        <f t="shared" si="2"/>
        <v>0.99</v>
      </c>
      <c r="N66" s="3">
        <f t="shared" si="2"/>
        <v>1.024</v>
      </c>
      <c r="O66" s="3">
        <f t="shared" si="2"/>
        <v>1.0549999999999999</v>
      </c>
      <c r="P66" s="3">
        <f t="shared" si="2"/>
        <v>1.0740000000000001</v>
      </c>
      <c r="Q66" s="3">
        <f t="shared" si="2"/>
        <v>1.087</v>
      </c>
      <c r="R66" s="3">
        <f t="shared" si="2"/>
        <v>1.107</v>
      </c>
      <c r="S66" s="3">
        <f t="shared" si="2"/>
        <v>1.1200000000000001</v>
      </c>
      <c r="T66" s="3">
        <f t="shared" si="2"/>
        <v>1.1279999999999999</v>
      </c>
      <c r="U66" s="3">
        <f t="shared" si="2"/>
        <v>1.137</v>
      </c>
      <c r="V66" s="3">
        <f t="shared" si="2"/>
        <v>1.1399999999999999</v>
      </c>
      <c r="W66" s="3">
        <f t="shared" si="2"/>
        <v>1.1339999999999999</v>
      </c>
      <c r="X66" s="3">
        <f t="shared" si="2"/>
        <v>1.1439999999999999</v>
      </c>
      <c r="Y66" s="3">
        <f t="shared" si="2"/>
        <v>1.137</v>
      </c>
      <c r="Z66" s="3">
        <f t="shared" si="2"/>
        <v>1.1379999999999999</v>
      </c>
      <c r="AA66" s="3">
        <f t="shared" si="2"/>
        <v>1.157</v>
      </c>
      <c r="AB66" s="3">
        <f t="shared" si="2"/>
        <v>1.141</v>
      </c>
      <c r="AC66" s="3">
        <f t="shared" si="2"/>
        <v>1.141</v>
      </c>
      <c r="AD66" s="3">
        <f t="shared" si="2"/>
        <v>29.129000000000001</v>
      </c>
    </row>
    <row r="67" spans="3:30" x14ac:dyDescent="0.3">
      <c r="D67" t="s">
        <v>41</v>
      </c>
      <c r="E67" s="3">
        <f>MAX(E4:E63)</f>
        <v>0.55700000000000005</v>
      </c>
      <c r="F67" s="3">
        <f t="shared" ref="F67:AD67" si="3">MAX(F4:F63)</f>
        <v>0.63500000000000001</v>
      </c>
      <c r="G67" s="3">
        <f t="shared" si="3"/>
        <v>0.71699999999999997</v>
      </c>
      <c r="H67" s="3">
        <f t="shared" si="3"/>
        <v>0.79800000000000004</v>
      </c>
      <c r="I67" s="3">
        <f t="shared" si="3"/>
        <v>0.84799999999999998</v>
      </c>
      <c r="J67" s="3">
        <f t="shared" si="3"/>
        <v>0.90600000000000003</v>
      </c>
      <c r="K67" s="3">
        <f t="shared" si="3"/>
        <v>0.94799999999999995</v>
      </c>
      <c r="L67" s="3">
        <f t="shared" si="3"/>
        <v>0.99199999999999999</v>
      </c>
      <c r="M67" s="3">
        <f t="shared" si="3"/>
        <v>1.02</v>
      </c>
      <c r="N67" s="3">
        <f t="shared" si="3"/>
        <v>1.054</v>
      </c>
      <c r="O67" s="3">
        <f t="shared" si="3"/>
        <v>1.0860000000000001</v>
      </c>
      <c r="P67" s="3">
        <f t="shared" si="3"/>
        <v>1.111</v>
      </c>
      <c r="Q67" s="3">
        <f t="shared" si="3"/>
        <v>1.135</v>
      </c>
      <c r="R67" s="3">
        <f t="shared" si="3"/>
        <v>1.1499999999999999</v>
      </c>
      <c r="S67" s="3">
        <f t="shared" si="3"/>
        <v>1.175</v>
      </c>
      <c r="T67" s="3">
        <f t="shared" si="3"/>
        <v>1.1719999999999999</v>
      </c>
      <c r="U67" s="3">
        <f t="shared" si="3"/>
        <v>1.1830000000000001</v>
      </c>
      <c r="V67" s="3">
        <f t="shared" si="3"/>
        <v>1.1950000000000001</v>
      </c>
      <c r="W67" s="3">
        <f t="shared" si="3"/>
        <v>1.1930000000000001</v>
      </c>
      <c r="X67" s="3">
        <f t="shared" si="3"/>
        <v>1.232</v>
      </c>
      <c r="Y67" s="3">
        <f t="shared" si="3"/>
        <v>1.2230000000000001</v>
      </c>
      <c r="Z67" s="3">
        <f t="shared" si="3"/>
        <v>1.232</v>
      </c>
      <c r="AA67" s="3">
        <f t="shared" si="3"/>
        <v>1.234</v>
      </c>
      <c r="AB67" s="3">
        <f t="shared" si="3"/>
        <v>1.214</v>
      </c>
      <c r="AC67" s="3">
        <f t="shared" si="3"/>
        <v>1.2270000000000001</v>
      </c>
      <c r="AD67" s="3">
        <f t="shared" si="3"/>
        <v>30.273</v>
      </c>
    </row>
    <row r="68" spans="3:30" x14ac:dyDescent="0.3">
      <c r="D68" t="s">
        <v>37</v>
      </c>
      <c r="E68" s="3">
        <f>AVERAGE(E4:E63)-(2*_xlfn.STDEV.S(E4:E63))</f>
        <v>0.49518160546970869</v>
      </c>
      <c r="F68" s="3">
        <f t="shared" ref="F68:AD68" si="4">AVERAGE(F4:F63)-(2*_xlfn.STDEV.S(F4:F63))</f>
        <v>0.57752779838243573</v>
      </c>
      <c r="G68" s="3">
        <f t="shared" si="4"/>
        <v>0.66538207271975403</v>
      </c>
      <c r="H68" s="3">
        <f t="shared" si="4"/>
        <v>0.74458091654486236</v>
      </c>
      <c r="I68" s="3">
        <f t="shared" si="4"/>
        <v>0.81367491127251201</v>
      </c>
      <c r="J68" s="3">
        <f t="shared" si="4"/>
        <v>0.8566161260221502</v>
      </c>
      <c r="K68" s="3">
        <f t="shared" si="4"/>
        <v>0.90544109857215294</v>
      </c>
      <c r="L68" s="3">
        <f t="shared" si="4"/>
        <v>0.94645904562914651</v>
      </c>
      <c r="M68" s="3">
        <f t="shared" si="4"/>
        <v>0.98942454454151729</v>
      </c>
      <c r="N68" s="3">
        <f t="shared" si="4"/>
        <v>1.0226114482236857</v>
      </c>
      <c r="O68" s="3">
        <f t="shared" si="4"/>
        <v>1.052072432790693</v>
      </c>
      <c r="P68" s="3">
        <f t="shared" si="4"/>
        <v>1.0788813057672877</v>
      </c>
      <c r="Q68" s="3">
        <f t="shared" si="4"/>
        <v>1.0878995765199897</v>
      </c>
      <c r="R68" s="3">
        <f t="shared" si="4"/>
        <v>1.1056489597249126</v>
      </c>
      <c r="S68" s="3">
        <f t="shared" si="4"/>
        <v>1.1153917595570582</v>
      </c>
      <c r="T68" s="3">
        <f t="shared" si="4"/>
        <v>1.1288338327840814</v>
      </c>
      <c r="U68" s="3">
        <f t="shared" si="4"/>
        <v>1.1349402644993811</v>
      </c>
      <c r="V68" s="3">
        <f t="shared" si="4"/>
        <v>1.1368862367769368</v>
      </c>
      <c r="W68" s="3">
        <f t="shared" si="4"/>
        <v>1.1372572558144713</v>
      </c>
      <c r="X68" s="3">
        <f t="shared" si="4"/>
        <v>1.1321215182618771</v>
      </c>
      <c r="Y68" s="3">
        <f t="shared" si="4"/>
        <v>1.1332978593902749</v>
      </c>
      <c r="Z68" s="3">
        <f t="shared" si="4"/>
        <v>1.1391288041265015</v>
      </c>
      <c r="AA68" s="3">
        <f t="shared" si="4"/>
        <v>1.1532033643880855</v>
      </c>
      <c r="AB68" s="3">
        <f t="shared" si="4"/>
        <v>1.1495607316273775</v>
      </c>
      <c r="AC68" s="3">
        <f t="shared" si="4"/>
        <v>1.1534012137178287</v>
      </c>
      <c r="AD68" s="3">
        <f t="shared" si="4"/>
        <v>29.324911685565581</v>
      </c>
    </row>
    <row r="69" spans="3:30" x14ac:dyDescent="0.3">
      <c r="D69" t="s">
        <v>38</v>
      </c>
      <c r="E69" s="3">
        <f>AVERAGE(E4:E63)+(2*_xlfn.STDEV.S(E4:E63))</f>
        <v>0.55225172786362431</v>
      </c>
      <c r="F69" s="3">
        <f t="shared" ref="F69:AD69" si="5">AVERAGE(F4:F63)+(2*_xlfn.STDEV.S(F4:F63))</f>
        <v>0.62617220161756337</v>
      </c>
      <c r="G69" s="3">
        <f t="shared" si="5"/>
        <v>0.71451792728024588</v>
      </c>
      <c r="H69" s="3">
        <f t="shared" si="5"/>
        <v>0.79171908345513808</v>
      </c>
      <c r="I69" s="3">
        <f t="shared" si="5"/>
        <v>0.84695842206082095</v>
      </c>
      <c r="J69" s="3">
        <f t="shared" si="5"/>
        <v>0.89688387397784963</v>
      </c>
      <c r="K69" s="3">
        <f t="shared" si="5"/>
        <v>0.9403922347611805</v>
      </c>
      <c r="L69" s="3">
        <f t="shared" si="5"/>
        <v>0.9815742877041872</v>
      </c>
      <c r="M69" s="3">
        <f t="shared" si="5"/>
        <v>1.0159421221251494</v>
      </c>
      <c r="N69" s="3">
        <f t="shared" si="5"/>
        <v>1.0511885517763138</v>
      </c>
      <c r="O69" s="3">
        <f t="shared" si="5"/>
        <v>1.080294233875974</v>
      </c>
      <c r="P69" s="3">
        <f t="shared" si="5"/>
        <v>1.1080853608993786</v>
      </c>
      <c r="Q69" s="3">
        <f t="shared" si="5"/>
        <v>1.1264670901466762</v>
      </c>
      <c r="R69" s="3">
        <f t="shared" si="5"/>
        <v>1.1406843736084202</v>
      </c>
      <c r="S69" s="3">
        <f t="shared" si="5"/>
        <v>1.1607415737762754</v>
      </c>
      <c r="T69" s="3">
        <f t="shared" si="5"/>
        <v>1.1662661672159191</v>
      </c>
      <c r="U69" s="3">
        <f t="shared" si="5"/>
        <v>1.1753930688339522</v>
      </c>
      <c r="V69" s="3">
        <f t="shared" si="5"/>
        <v>1.18228042988973</v>
      </c>
      <c r="W69" s="3">
        <f t="shared" si="5"/>
        <v>1.1867427441855285</v>
      </c>
      <c r="X69" s="3">
        <f t="shared" si="5"/>
        <v>1.1982451484047907</v>
      </c>
      <c r="Y69" s="3">
        <f t="shared" si="5"/>
        <v>1.2059688072763917</v>
      </c>
      <c r="Z69" s="3">
        <f t="shared" si="5"/>
        <v>1.2268045292068315</v>
      </c>
      <c r="AA69" s="3">
        <f t="shared" si="5"/>
        <v>1.2276966356119154</v>
      </c>
      <c r="AB69" s="3">
        <f t="shared" si="5"/>
        <v>1.2085392683726219</v>
      </c>
      <c r="AC69" s="3">
        <f t="shared" si="5"/>
        <v>1.231365452948838</v>
      </c>
      <c r="AD69" s="3">
        <f t="shared" si="5"/>
        <v>30.084854981101095</v>
      </c>
    </row>
    <row r="70" spans="3:30" x14ac:dyDescent="0.3">
      <c r="D70" t="s">
        <v>43</v>
      </c>
      <c r="E70">
        <f t="shared" ref="E70:AD70" si="6">3*_xlfn.STDEV.S(E4:E63)</f>
        <v>4.2802591795436676E-2</v>
      </c>
      <c r="F70">
        <f t="shared" si="6"/>
        <v>3.6483302426345746E-2</v>
      </c>
      <c r="G70">
        <f t="shared" si="6"/>
        <v>3.6851890920368953E-2</v>
      </c>
      <c r="H70">
        <f t="shared" si="6"/>
        <v>3.5353625182706856E-2</v>
      </c>
      <c r="I70">
        <f t="shared" si="6"/>
        <v>2.4962633091231756E-2</v>
      </c>
      <c r="J70">
        <f t="shared" si="6"/>
        <v>3.020081096677453E-2</v>
      </c>
      <c r="K70">
        <f t="shared" si="6"/>
        <v>2.6213352141770663E-2</v>
      </c>
      <c r="L70">
        <f t="shared" si="6"/>
        <v>2.6336431556280463E-2</v>
      </c>
      <c r="M70">
        <f t="shared" si="6"/>
        <v>1.9888183187724177E-2</v>
      </c>
      <c r="N70">
        <f t="shared" si="6"/>
        <v>2.1432827664471066E-2</v>
      </c>
      <c r="O70">
        <f t="shared" si="6"/>
        <v>2.1166350813960864E-2</v>
      </c>
      <c r="P70">
        <f t="shared" si="6"/>
        <v>2.1903041349068023E-2</v>
      </c>
      <c r="Q70">
        <f t="shared" si="6"/>
        <v>2.8925635220014748E-2</v>
      </c>
      <c r="R70">
        <f t="shared" si="6"/>
        <v>2.6276560412630826E-2</v>
      </c>
      <c r="S70">
        <f t="shared" si="6"/>
        <v>3.4012360664412891E-2</v>
      </c>
      <c r="T70">
        <f t="shared" si="6"/>
        <v>2.8074250823878349E-2</v>
      </c>
      <c r="U70">
        <f t="shared" si="6"/>
        <v>3.0339603250928174E-2</v>
      </c>
      <c r="V70">
        <f t="shared" si="6"/>
        <v>3.4045644834595074E-2</v>
      </c>
      <c r="W70">
        <f t="shared" si="6"/>
        <v>3.7114116278292933E-2</v>
      </c>
      <c r="X70">
        <f t="shared" si="6"/>
        <v>4.9592722607185238E-2</v>
      </c>
      <c r="Y70">
        <f t="shared" si="6"/>
        <v>5.4503210914587458E-2</v>
      </c>
      <c r="Z70">
        <f t="shared" si="6"/>
        <v>6.5756793810247488E-2</v>
      </c>
      <c r="AA70">
        <f t="shared" si="6"/>
        <v>5.5869953417872591E-2</v>
      </c>
      <c r="AB70">
        <f t="shared" si="6"/>
        <v>4.4233902558933474E-2</v>
      </c>
      <c r="AC70">
        <f t="shared" si="6"/>
        <v>5.8473179423257068E-2</v>
      </c>
      <c r="AD70">
        <f t="shared" si="6"/>
        <v>0.56995747165163568</v>
      </c>
    </row>
    <row r="71" spans="3:30" x14ac:dyDescent="0.3">
      <c r="D71" t="s">
        <v>44</v>
      </c>
      <c r="E71">
        <f>(_xlfn.PERCENTILE.INC(E4:E63,0.95)-_xlfn.PERCENTILE.INC(E4:E63,0.05))/2</f>
        <v>2.327499999999999E-2</v>
      </c>
      <c r="F71">
        <f t="shared" ref="F71:AD71" si="7">(_xlfn.PERCENTILE.INC(F4:F63,0.95)-_xlfn.PERCENTILE.INC(F4:F63,0.05))/2</f>
        <v>2.057500000000001E-2</v>
      </c>
      <c r="G71">
        <f t="shared" si="7"/>
        <v>1.9524999999999959E-2</v>
      </c>
      <c r="H71">
        <f t="shared" si="7"/>
        <v>1.8125000000000002E-2</v>
      </c>
      <c r="I71">
        <f t="shared" si="7"/>
        <v>1.3100000000000001E-2</v>
      </c>
      <c r="J71">
        <f t="shared" si="7"/>
        <v>1.805000000000001E-2</v>
      </c>
      <c r="K71">
        <f t="shared" si="7"/>
        <v>1.4549999999999952E-2</v>
      </c>
      <c r="L71">
        <f t="shared" si="7"/>
        <v>1.5550000000000008E-2</v>
      </c>
      <c r="M71">
        <f t="shared" si="7"/>
        <v>1.0575000000000001E-2</v>
      </c>
      <c r="N71">
        <f t="shared" si="7"/>
        <v>1.3050000000000006E-2</v>
      </c>
      <c r="O71">
        <f t="shared" si="7"/>
        <v>1.112499999999994E-2</v>
      </c>
      <c r="P71">
        <f t="shared" si="7"/>
        <v>1.1099999999999999E-2</v>
      </c>
      <c r="Q71">
        <f t="shared" si="7"/>
        <v>1.6050000000000009E-2</v>
      </c>
      <c r="R71">
        <f t="shared" si="7"/>
        <v>1.3599999999999945E-2</v>
      </c>
      <c r="S71">
        <f t="shared" si="7"/>
        <v>1.9074999999999953E-2</v>
      </c>
      <c r="T71">
        <f t="shared" si="7"/>
        <v>1.5024999999999955E-2</v>
      </c>
      <c r="U71">
        <f t="shared" si="7"/>
        <v>1.805000000000001E-2</v>
      </c>
      <c r="V71">
        <f t="shared" si="7"/>
        <v>1.8074999999999952E-2</v>
      </c>
      <c r="W71">
        <f t="shared" si="7"/>
        <v>1.7725000000000102E-2</v>
      </c>
      <c r="X71">
        <f t="shared" si="7"/>
        <v>2.3525000000000018E-2</v>
      </c>
      <c r="Y71">
        <f t="shared" si="7"/>
        <v>2.8725000000000001E-2</v>
      </c>
      <c r="Z71">
        <f t="shared" si="7"/>
        <v>3.8075000000000081E-2</v>
      </c>
      <c r="AA71">
        <f t="shared" si="7"/>
        <v>2.9675000000000007E-2</v>
      </c>
      <c r="AB71">
        <f t="shared" si="7"/>
        <v>2.2175000000000056E-2</v>
      </c>
      <c r="AC71">
        <f t="shared" si="7"/>
        <v>3.2625000000000015E-2</v>
      </c>
      <c r="AD71">
        <f t="shared" si="7"/>
        <v>0.25647500000000178</v>
      </c>
    </row>
    <row r="72" spans="3:30" x14ac:dyDescent="0.3">
      <c r="D72" t="s">
        <v>42</v>
      </c>
      <c r="E72">
        <f t="shared" ref="E72:AD72" si="8">MAX(3*_xlfn.STDEV.S(E4:E63),(_xlfn.PERCENTILE.INC(E4:E63,0.95)-_xlfn.PERCENTILE.INC(E4:E63,0.05))/2
)</f>
        <v>4.2802591795436676E-2</v>
      </c>
      <c r="F72">
        <f t="shared" si="8"/>
        <v>3.6483302426345746E-2</v>
      </c>
      <c r="G72">
        <f t="shared" si="8"/>
        <v>3.6851890920368953E-2</v>
      </c>
      <c r="H72">
        <f t="shared" si="8"/>
        <v>3.5353625182706856E-2</v>
      </c>
      <c r="I72">
        <f t="shared" si="8"/>
        <v>2.4962633091231756E-2</v>
      </c>
      <c r="J72">
        <f t="shared" si="8"/>
        <v>3.020081096677453E-2</v>
      </c>
      <c r="K72">
        <f t="shared" si="8"/>
        <v>2.6213352141770663E-2</v>
      </c>
      <c r="L72">
        <f t="shared" si="8"/>
        <v>2.6336431556280463E-2</v>
      </c>
      <c r="M72">
        <f t="shared" si="8"/>
        <v>1.9888183187724177E-2</v>
      </c>
      <c r="N72">
        <f t="shared" si="8"/>
        <v>2.1432827664471066E-2</v>
      </c>
      <c r="O72">
        <f t="shared" si="8"/>
        <v>2.1166350813960864E-2</v>
      </c>
      <c r="P72">
        <f t="shared" si="8"/>
        <v>2.1903041349068023E-2</v>
      </c>
      <c r="Q72">
        <f t="shared" si="8"/>
        <v>2.8925635220014748E-2</v>
      </c>
      <c r="R72">
        <f t="shared" si="8"/>
        <v>2.6276560412630826E-2</v>
      </c>
      <c r="S72">
        <f t="shared" si="8"/>
        <v>3.4012360664412891E-2</v>
      </c>
      <c r="T72">
        <f t="shared" si="8"/>
        <v>2.8074250823878349E-2</v>
      </c>
      <c r="U72">
        <f t="shared" si="8"/>
        <v>3.0339603250928174E-2</v>
      </c>
      <c r="V72">
        <f t="shared" si="8"/>
        <v>3.4045644834595074E-2</v>
      </c>
      <c r="W72">
        <f t="shared" si="8"/>
        <v>3.7114116278292933E-2</v>
      </c>
      <c r="X72">
        <f t="shared" si="8"/>
        <v>4.9592722607185238E-2</v>
      </c>
      <c r="Y72">
        <f t="shared" si="8"/>
        <v>5.4503210914587458E-2</v>
      </c>
      <c r="Z72">
        <f t="shared" si="8"/>
        <v>6.5756793810247488E-2</v>
      </c>
      <c r="AA72">
        <f t="shared" si="8"/>
        <v>5.5869953417872591E-2</v>
      </c>
      <c r="AB72">
        <f t="shared" si="8"/>
        <v>4.4233902558933474E-2</v>
      </c>
      <c r="AC72">
        <f t="shared" si="8"/>
        <v>5.8473179423257068E-2</v>
      </c>
      <c r="AD72">
        <f t="shared" si="8"/>
        <v>0.56995747165163568</v>
      </c>
    </row>
    <row r="73" spans="3:30" x14ac:dyDescent="0.3">
      <c r="C73" t="s">
        <v>36</v>
      </c>
      <c r="D73" t="s">
        <v>47</v>
      </c>
      <c r="E73" s="3">
        <f t="shared" ref="E73:AD73" si="9">ROUND(AVERAGE(E4:E63),3)</f>
        <v>0.52400000000000002</v>
      </c>
      <c r="F73" s="3">
        <f t="shared" si="9"/>
        <v>0.60199999999999998</v>
      </c>
      <c r="G73" s="3">
        <f t="shared" si="9"/>
        <v>0.69</v>
      </c>
      <c r="H73" s="3">
        <f t="shared" si="9"/>
        <v>0.76800000000000002</v>
      </c>
      <c r="I73" s="3">
        <f t="shared" si="9"/>
        <v>0.83</v>
      </c>
      <c r="J73" s="3">
        <f t="shared" si="9"/>
        <v>0.877</v>
      </c>
      <c r="K73" s="3">
        <f t="shared" si="9"/>
        <v>0.92300000000000004</v>
      </c>
      <c r="L73" s="3">
        <f t="shared" si="9"/>
        <v>0.96399999999999997</v>
      </c>
      <c r="M73" s="3">
        <f t="shared" si="9"/>
        <v>1.0029999999999999</v>
      </c>
      <c r="N73" s="3">
        <f t="shared" si="9"/>
        <v>1.0369999999999999</v>
      </c>
      <c r="O73" s="3">
        <f t="shared" si="9"/>
        <v>1.0660000000000001</v>
      </c>
      <c r="P73" s="3">
        <f t="shared" si="9"/>
        <v>1.093</v>
      </c>
      <c r="Q73" s="3">
        <f t="shared" si="9"/>
        <v>1.107</v>
      </c>
      <c r="R73" s="3">
        <f t="shared" si="9"/>
        <v>1.123</v>
      </c>
      <c r="S73" s="3">
        <f t="shared" si="9"/>
        <v>1.1379999999999999</v>
      </c>
      <c r="T73" s="3">
        <f t="shared" si="9"/>
        <v>1.1479999999999999</v>
      </c>
      <c r="U73" s="3">
        <f t="shared" si="9"/>
        <v>1.155</v>
      </c>
      <c r="V73" s="3">
        <f t="shared" si="9"/>
        <v>1.1599999999999999</v>
      </c>
      <c r="W73" s="3">
        <f t="shared" si="9"/>
        <v>1.1619999999999999</v>
      </c>
      <c r="X73" s="3">
        <f t="shared" si="9"/>
        <v>1.165</v>
      </c>
      <c r="Y73" s="3">
        <f t="shared" si="9"/>
        <v>1.17</v>
      </c>
      <c r="Z73" s="3">
        <f t="shared" si="9"/>
        <v>1.1830000000000001</v>
      </c>
      <c r="AA73" s="3">
        <f t="shared" si="9"/>
        <v>1.19</v>
      </c>
      <c r="AB73" s="3">
        <f t="shared" si="9"/>
        <v>1.179</v>
      </c>
      <c r="AC73" s="3">
        <f t="shared" si="9"/>
        <v>1.1919999999999999</v>
      </c>
      <c r="AD73" s="3">
        <f t="shared" si="9"/>
        <v>29.704999999999998</v>
      </c>
    </row>
    <row r="74" spans="3:30" x14ac:dyDescent="0.3">
      <c r="C74" t="s">
        <v>45</v>
      </c>
      <c r="D74" t="s">
        <v>46</v>
      </c>
      <c r="E74" s="3">
        <f t="shared" ref="E74:AD74" si="10">ROUND(TRIMMEAN(E4:E63,0.1),3)</f>
        <v>0.52300000000000002</v>
      </c>
      <c r="F74" s="3">
        <f t="shared" si="10"/>
        <v>0.60199999999999998</v>
      </c>
      <c r="G74" s="3">
        <f t="shared" si="10"/>
        <v>0.69</v>
      </c>
      <c r="H74" s="3">
        <f t="shared" si="10"/>
        <v>0.76800000000000002</v>
      </c>
      <c r="I74" s="3">
        <f t="shared" si="10"/>
        <v>0.83</v>
      </c>
      <c r="J74" s="3">
        <f t="shared" si="10"/>
        <v>0.876</v>
      </c>
      <c r="K74" s="3">
        <f t="shared" si="10"/>
        <v>0.92300000000000004</v>
      </c>
      <c r="L74" s="3">
        <f t="shared" si="10"/>
        <v>0.96299999999999997</v>
      </c>
      <c r="M74" s="3">
        <f t="shared" si="10"/>
        <v>1.002</v>
      </c>
      <c r="N74" s="3">
        <f t="shared" si="10"/>
        <v>1.0369999999999999</v>
      </c>
      <c r="O74" s="3">
        <f t="shared" si="10"/>
        <v>1.0660000000000001</v>
      </c>
      <c r="P74" s="3">
        <f t="shared" si="10"/>
        <v>1.093</v>
      </c>
      <c r="Q74" s="3">
        <f t="shared" si="10"/>
        <v>1.107</v>
      </c>
      <c r="R74" s="3">
        <f t="shared" si="10"/>
        <v>1.123</v>
      </c>
      <c r="S74" s="3">
        <f t="shared" si="10"/>
        <v>1.137</v>
      </c>
      <c r="T74" s="3">
        <f t="shared" si="10"/>
        <v>1.147</v>
      </c>
      <c r="U74" s="3">
        <f t="shared" si="10"/>
        <v>1.155</v>
      </c>
      <c r="V74" s="3">
        <f t="shared" si="10"/>
        <v>1.159</v>
      </c>
      <c r="W74" s="3">
        <f t="shared" si="10"/>
        <v>1.1619999999999999</v>
      </c>
      <c r="X74" s="3">
        <f t="shared" si="10"/>
        <v>1.1639999999999999</v>
      </c>
      <c r="Y74" s="3">
        <f t="shared" si="10"/>
        <v>1.169</v>
      </c>
      <c r="Z74" s="3">
        <f t="shared" si="10"/>
        <v>1.1819999999999999</v>
      </c>
      <c r="AA74" s="3">
        <f t="shared" si="10"/>
        <v>1.19</v>
      </c>
      <c r="AB74" s="3">
        <f t="shared" si="10"/>
        <v>1.179</v>
      </c>
      <c r="AC74" s="3">
        <f t="shared" si="10"/>
        <v>1.1930000000000001</v>
      </c>
      <c r="AD74" s="3">
        <f t="shared" si="10"/>
        <v>29.707999999999998</v>
      </c>
    </row>
    <row r="75" spans="3:30" x14ac:dyDescent="0.3">
      <c r="E75" s="3"/>
      <c r="F75" s="3"/>
      <c r="G75" s="3"/>
    </row>
    <row r="76" spans="3:30" x14ac:dyDescent="0.3">
      <c r="E76" s="3"/>
      <c r="F76" s="3"/>
      <c r="G76" s="3"/>
    </row>
    <row r="77" spans="3:30" x14ac:dyDescent="0.3">
      <c r="E77" s="3"/>
      <c r="F77" s="3"/>
      <c r="G77" s="3"/>
    </row>
    <row r="78" spans="3:30" x14ac:dyDescent="0.3">
      <c r="E78" s="3"/>
    </row>
    <row r="79" spans="3:30" x14ac:dyDescent="0.3">
      <c r="E79" s="3"/>
    </row>
    <row r="80" spans="3:30" x14ac:dyDescent="0.3">
      <c r="E80" s="7"/>
      <c r="F80" s="7"/>
      <c r="G80" s="7"/>
    </row>
    <row r="81" spans="5:7" x14ac:dyDescent="0.3">
      <c r="E81" s="8"/>
      <c r="F81" s="6"/>
      <c r="G81" s="6"/>
    </row>
    <row r="82" spans="5:7" x14ac:dyDescent="0.3">
      <c r="E82" s="8"/>
      <c r="F82" s="6"/>
      <c r="G82" s="6"/>
    </row>
    <row r="83" spans="5:7" x14ac:dyDescent="0.3">
      <c r="E83" s="8"/>
      <c r="F83" s="6"/>
      <c r="G83" s="6"/>
    </row>
    <row r="84" spans="5:7" x14ac:dyDescent="0.3">
      <c r="E84" s="8"/>
      <c r="F84" s="6"/>
      <c r="G84" s="6"/>
    </row>
    <row r="85" spans="5:7" x14ac:dyDescent="0.3">
      <c r="E85" s="8"/>
      <c r="F85" s="6"/>
      <c r="G85" s="6"/>
    </row>
    <row r="86" spans="5:7" x14ac:dyDescent="0.3">
      <c r="E86" s="8"/>
      <c r="F86" s="6"/>
      <c r="G86" s="6"/>
    </row>
    <row r="87" spans="5:7" x14ac:dyDescent="0.3">
      <c r="E87" s="8"/>
      <c r="F87" s="6"/>
      <c r="G87" s="6"/>
    </row>
  </sheetData>
  <mergeCells count="6">
    <mergeCell ref="A2:B3"/>
    <mergeCell ref="C2:C3"/>
    <mergeCell ref="D2:D3"/>
    <mergeCell ref="E2:AD2"/>
    <mergeCell ref="A4:B63"/>
    <mergeCell ref="C4:C6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Confirm Fit GP #F1</vt:lpstr>
      <vt:lpstr>Confirm Fit GP #F2</vt:lpstr>
      <vt:lpstr>Confirm Fit GP #F3</vt:lpstr>
      <vt:lpstr>Confirm Fit GP #FX</vt:lpstr>
      <vt:lpstr>Confirm Fit GP #FXL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품질 관리1</dc:creator>
  <cp:lastModifiedBy>경영 품질-02.팀원</cp:lastModifiedBy>
  <cp:lastPrinted>2026-05-13T04:33:28Z</cp:lastPrinted>
  <dcterms:created xsi:type="dcterms:W3CDTF">2026-02-05T04:29:12Z</dcterms:created>
  <dcterms:modified xsi:type="dcterms:W3CDTF">2026-06-24T00:53:07Z</dcterms:modified>
</cp:coreProperties>
</file>